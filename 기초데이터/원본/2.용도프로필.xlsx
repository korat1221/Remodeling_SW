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5. 연구과제\54. 기존건물에너지리모델링\04.4차년도\05.오프라인툴\3.송신\1.DB\"/>
    </mc:Choice>
  </mc:AlternateContent>
  <bookViews>
    <workbookView xWindow="0" yWindow="0" windowWidth="38400" windowHeight="116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50" i="1" l="1"/>
  <c r="U50" i="1"/>
  <c r="T50" i="1"/>
  <c r="J50" i="1"/>
  <c r="F50" i="1"/>
  <c r="K50" i="1" s="1"/>
  <c r="C50" i="1"/>
  <c r="AB49" i="1"/>
  <c r="U49" i="1"/>
  <c r="J49" i="1"/>
  <c r="F49" i="1"/>
  <c r="K49" i="1" s="1"/>
  <c r="C49" i="1"/>
  <c r="AB48" i="1"/>
  <c r="U48" i="1"/>
  <c r="J48" i="1"/>
  <c r="F48" i="1"/>
  <c r="K48" i="1" s="1"/>
  <c r="C48" i="1"/>
  <c r="AB47" i="1"/>
  <c r="U47" i="1"/>
  <c r="J47" i="1"/>
  <c r="F47" i="1"/>
  <c r="K47" i="1" s="1"/>
  <c r="C47" i="1"/>
  <c r="AB46" i="1"/>
  <c r="U46" i="1"/>
  <c r="J46" i="1"/>
  <c r="F46" i="1"/>
  <c r="I46" i="1" s="1"/>
  <c r="C46" i="1"/>
  <c r="AL45" i="1"/>
  <c r="AK45" i="1"/>
  <c r="AJ45" i="1"/>
  <c r="AB45" i="1"/>
  <c r="U45" i="1"/>
  <c r="T45" i="1"/>
  <c r="J45" i="1"/>
  <c r="F45" i="1"/>
  <c r="K45" i="1" s="1"/>
  <c r="C45" i="1"/>
  <c r="AB44" i="1"/>
  <c r="U44" i="1"/>
  <c r="J44" i="1"/>
  <c r="F44" i="1"/>
  <c r="K44" i="1" s="1"/>
  <c r="C44" i="1"/>
  <c r="AB43" i="1"/>
  <c r="U43" i="1"/>
  <c r="J43" i="1"/>
  <c r="F43" i="1"/>
  <c r="K43" i="1" s="1"/>
  <c r="C43" i="1"/>
  <c r="AB42" i="1"/>
  <c r="U42" i="1"/>
  <c r="T42" i="1"/>
  <c r="J42" i="1"/>
  <c r="F42" i="1"/>
  <c r="K42" i="1" s="1"/>
  <c r="C42" i="1"/>
  <c r="AB41" i="1"/>
  <c r="U41" i="1"/>
  <c r="T41" i="1"/>
  <c r="J41" i="1"/>
  <c r="F41" i="1"/>
  <c r="K41" i="1" s="1"/>
  <c r="C41" i="1"/>
  <c r="AB40" i="1"/>
  <c r="U40" i="1"/>
  <c r="T40" i="1"/>
  <c r="J40" i="1"/>
  <c r="F40" i="1"/>
  <c r="K40" i="1" s="1"/>
  <c r="C40" i="1"/>
  <c r="AB39" i="1"/>
  <c r="U39" i="1"/>
  <c r="T39" i="1"/>
  <c r="J39" i="1"/>
  <c r="F39" i="1"/>
  <c r="K39" i="1" s="1"/>
  <c r="C39" i="1"/>
  <c r="AB38" i="1"/>
  <c r="U38" i="1"/>
  <c r="T38" i="1"/>
  <c r="J38" i="1"/>
  <c r="F38" i="1"/>
  <c r="K38" i="1" s="1"/>
  <c r="C38" i="1"/>
  <c r="AB37" i="1"/>
  <c r="U37" i="1"/>
  <c r="T37" i="1"/>
  <c r="J37" i="1"/>
  <c r="F37" i="1"/>
  <c r="K37" i="1" s="1"/>
  <c r="C37" i="1"/>
  <c r="AB36" i="1"/>
  <c r="U36" i="1"/>
  <c r="T36" i="1"/>
  <c r="J36" i="1"/>
  <c r="F36" i="1"/>
  <c r="K36" i="1" s="1"/>
  <c r="C36" i="1"/>
  <c r="AB35" i="1"/>
  <c r="U35" i="1"/>
  <c r="T35" i="1"/>
  <c r="J35" i="1"/>
  <c r="F35" i="1"/>
  <c r="K35" i="1" s="1"/>
  <c r="C35" i="1"/>
  <c r="AB34" i="1"/>
  <c r="U34" i="1"/>
  <c r="T34" i="1"/>
  <c r="J34" i="1"/>
  <c r="F34" i="1"/>
  <c r="K34" i="1" s="1"/>
  <c r="C34" i="1"/>
  <c r="AB33" i="1"/>
  <c r="U33" i="1"/>
  <c r="J33" i="1"/>
  <c r="F33" i="1"/>
  <c r="I33" i="1" s="1"/>
  <c r="C33" i="1"/>
  <c r="AB32" i="1"/>
  <c r="U32" i="1"/>
  <c r="J32" i="1"/>
  <c r="F32" i="1"/>
  <c r="I32" i="1" s="1"/>
  <c r="C32" i="1"/>
  <c r="AB31" i="1"/>
  <c r="U31" i="1"/>
  <c r="J31" i="1"/>
  <c r="F31" i="1"/>
  <c r="I31" i="1" s="1"/>
  <c r="C31" i="1"/>
  <c r="AO30" i="1"/>
  <c r="AN30" i="1"/>
  <c r="AM30" i="1"/>
  <c r="AL30" i="1"/>
  <c r="AK30" i="1"/>
  <c r="AJ30" i="1"/>
  <c r="AB30" i="1"/>
  <c r="U30" i="1"/>
  <c r="T30" i="1"/>
  <c r="J30" i="1"/>
  <c r="F30" i="1"/>
  <c r="K30" i="1" s="1"/>
  <c r="C30" i="1"/>
  <c r="AB29" i="1"/>
  <c r="U29" i="1"/>
  <c r="T29" i="1"/>
  <c r="J29" i="1"/>
  <c r="F29" i="1"/>
  <c r="K29" i="1" s="1"/>
  <c r="C29" i="1"/>
  <c r="AB28" i="1"/>
  <c r="U28" i="1"/>
  <c r="T28" i="1"/>
  <c r="K28" i="1"/>
  <c r="J28" i="1"/>
  <c r="F28" i="1"/>
  <c r="I28" i="1" s="1"/>
  <c r="C28" i="1"/>
  <c r="AB27" i="1"/>
  <c r="U27" i="1"/>
  <c r="T27" i="1"/>
  <c r="J27" i="1"/>
  <c r="F27" i="1"/>
  <c r="K27" i="1" s="1"/>
  <c r="C27" i="1"/>
  <c r="AB26" i="1"/>
  <c r="U26" i="1"/>
  <c r="T26" i="1"/>
  <c r="J26" i="1"/>
  <c r="F26" i="1"/>
  <c r="K26" i="1" s="1"/>
  <c r="C26" i="1"/>
  <c r="AB25" i="1"/>
  <c r="U25" i="1"/>
  <c r="T25" i="1"/>
  <c r="J25" i="1"/>
  <c r="F25" i="1"/>
  <c r="I25" i="1" s="1"/>
  <c r="C25" i="1"/>
  <c r="AB24" i="1"/>
  <c r="U24" i="1"/>
  <c r="T24" i="1"/>
  <c r="K24" i="1"/>
  <c r="J24" i="1"/>
  <c r="F24" i="1"/>
  <c r="I24" i="1" s="1"/>
  <c r="C24" i="1"/>
  <c r="AB23" i="1"/>
  <c r="U23" i="1"/>
  <c r="T23" i="1"/>
  <c r="J23" i="1"/>
  <c r="F23" i="1"/>
  <c r="K23" i="1" s="1"/>
  <c r="C23" i="1"/>
  <c r="AB22" i="1"/>
  <c r="U22" i="1"/>
  <c r="T22" i="1"/>
  <c r="J22" i="1"/>
  <c r="F22" i="1"/>
  <c r="K22" i="1" s="1"/>
  <c r="C22" i="1"/>
  <c r="AB21" i="1"/>
  <c r="U21" i="1"/>
  <c r="T21" i="1"/>
  <c r="J21" i="1"/>
  <c r="F21" i="1"/>
  <c r="K21" i="1" s="1"/>
  <c r="C21" i="1"/>
  <c r="AB20" i="1"/>
  <c r="U20" i="1"/>
  <c r="T20" i="1"/>
  <c r="J20" i="1"/>
  <c r="F20" i="1"/>
  <c r="K20" i="1" s="1"/>
  <c r="C20" i="1"/>
  <c r="AB19" i="1"/>
  <c r="U19" i="1"/>
  <c r="T19" i="1"/>
  <c r="J19" i="1"/>
  <c r="F19" i="1"/>
  <c r="K19" i="1" s="1"/>
  <c r="C19" i="1"/>
  <c r="AB18" i="1"/>
  <c r="U18" i="1"/>
  <c r="T18" i="1"/>
  <c r="J18" i="1"/>
  <c r="F18" i="1"/>
  <c r="K18" i="1" s="1"/>
  <c r="C18" i="1"/>
  <c r="AL17" i="1"/>
  <c r="AK17" i="1"/>
  <c r="AJ17" i="1"/>
  <c r="U17" i="1"/>
  <c r="T17" i="1"/>
  <c r="J17" i="1"/>
  <c r="F17" i="1"/>
  <c r="I17" i="1" s="1"/>
  <c r="AC17" i="1" s="1"/>
  <c r="AB17" i="1" s="1"/>
  <c r="C17" i="1"/>
  <c r="AL16" i="1"/>
  <c r="AK16" i="1"/>
  <c r="AJ16" i="1"/>
  <c r="AB16" i="1"/>
  <c r="U16" i="1"/>
  <c r="T16" i="1"/>
  <c r="J16" i="1"/>
  <c r="F16" i="1"/>
  <c r="K16" i="1" s="1"/>
  <c r="C16" i="1"/>
  <c r="AL15" i="1"/>
  <c r="AK15" i="1"/>
  <c r="AJ15" i="1"/>
  <c r="AB15" i="1"/>
  <c r="U15" i="1"/>
  <c r="T15" i="1"/>
  <c r="J15" i="1"/>
  <c r="F15" i="1"/>
  <c r="K15" i="1" s="1"/>
  <c r="C15" i="1"/>
  <c r="AL14" i="1"/>
  <c r="AK14" i="1"/>
  <c r="AJ14" i="1"/>
  <c r="AB14" i="1"/>
  <c r="U14" i="1"/>
  <c r="T14" i="1"/>
  <c r="J14" i="1"/>
  <c r="F14" i="1"/>
  <c r="K14" i="1" s="1"/>
  <c r="C14" i="1"/>
  <c r="AL13" i="1"/>
  <c r="AK13" i="1"/>
  <c r="AJ13" i="1"/>
  <c r="AB13" i="1"/>
  <c r="U13" i="1"/>
  <c r="T13" i="1"/>
  <c r="J13" i="1"/>
  <c r="F13" i="1"/>
  <c r="K13" i="1" s="1"/>
  <c r="C13" i="1"/>
  <c r="AL12" i="1"/>
  <c r="AK12" i="1"/>
  <c r="AJ12" i="1"/>
  <c r="AB12" i="1"/>
  <c r="U12" i="1"/>
  <c r="T12" i="1"/>
  <c r="J12" i="1"/>
  <c r="F12" i="1"/>
  <c r="I12" i="1" s="1"/>
  <c r="C12" i="1"/>
  <c r="AL11" i="1"/>
  <c r="AK11" i="1"/>
  <c r="AJ11" i="1"/>
  <c r="AB11" i="1"/>
  <c r="U11" i="1"/>
  <c r="T11" i="1"/>
  <c r="J11" i="1"/>
  <c r="F11" i="1"/>
  <c r="K11" i="1" s="1"/>
  <c r="C11" i="1"/>
  <c r="AL10" i="1"/>
  <c r="AK10" i="1"/>
  <c r="AJ10" i="1"/>
  <c r="AB10" i="1"/>
  <c r="U10" i="1"/>
  <c r="T10" i="1"/>
  <c r="J10" i="1"/>
  <c r="F10" i="1"/>
  <c r="I10" i="1" s="1"/>
  <c r="C10" i="1"/>
  <c r="AL9" i="1"/>
  <c r="AK9" i="1"/>
  <c r="AJ9" i="1"/>
  <c r="AB9" i="1"/>
  <c r="U9" i="1"/>
  <c r="T9" i="1"/>
  <c r="J9" i="1"/>
  <c r="F9" i="1"/>
  <c r="I9" i="1" s="1"/>
  <c r="C9" i="1"/>
  <c r="AL8" i="1"/>
  <c r="AK8" i="1"/>
  <c r="AJ8" i="1"/>
  <c r="AB8" i="1"/>
  <c r="U8" i="1"/>
  <c r="T8" i="1"/>
  <c r="J8" i="1"/>
  <c r="F8" i="1"/>
  <c r="K8" i="1" s="1"/>
  <c r="C8" i="1"/>
  <c r="AL7" i="1"/>
  <c r="AK7" i="1"/>
  <c r="AJ7" i="1"/>
  <c r="AB7" i="1"/>
  <c r="U7" i="1"/>
  <c r="T7" i="1"/>
  <c r="J7" i="1"/>
  <c r="F7" i="1"/>
  <c r="K7" i="1" s="1"/>
  <c r="C7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I30" i="1" l="1"/>
  <c r="K31" i="1"/>
  <c r="K9" i="1"/>
  <c r="I26" i="1"/>
  <c r="I40" i="1"/>
  <c r="I36" i="1"/>
  <c r="K17" i="1"/>
  <c r="I7" i="1"/>
  <c r="I14" i="1"/>
  <c r="I38" i="1"/>
  <c r="K12" i="1"/>
  <c r="K33" i="1"/>
  <c r="I34" i="1"/>
  <c r="I50" i="1"/>
  <c r="I15" i="1"/>
  <c r="I42" i="1"/>
  <c r="K32" i="1"/>
  <c r="I19" i="1"/>
  <c r="I23" i="1"/>
  <c r="I27" i="1"/>
  <c r="I29" i="1"/>
  <c r="K10" i="1"/>
  <c r="I16" i="1"/>
  <c r="I45" i="1"/>
  <c r="I49" i="1"/>
  <c r="I21" i="1"/>
  <c r="K25" i="1"/>
  <c r="I35" i="1"/>
  <c r="I37" i="1"/>
  <c r="I39" i="1"/>
  <c r="I41" i="1"/>
  <c r="I43" i="1"/>
  <c r="I47" i="1"/>
  <c r="K46" i="1"/>
  <c r="I13" i="1"/>
  <c r="I18" i="1"/>
  <c r="I20" i="1"/>
  <c r="I22" i="1"/>
  <c r="I8" i="1"/>
  <c r="I11" i="1"/>
  <c r="I44" i="1"/>
  <c r="I48" i="1"/>
</calcChain>
</file>

<file path=xl/comments1.xml><?xml version="1.0" encoding="utf-8"?>
<comments xmlns="http://schemas.openxmlformats.org/spreadsheetml/2006/main">
  <authors>
    <author>hyunjung yoon</author>
    <author>sungjung_park</author>
    <author>User</author>
  </authors>
  <commentList>
    <comment ref="AP2" authorId="0" shapeId="0">
      <text>
        <r>
          <rPr>
            <b/>
            <sz val="9"/>
            <color indexed="81"/>
            <rFont val="Tahoma"/>
            <family val="2"/>
          </rPr>
          <t>hyunjung yoon:</t>
        </r>
        <r>
          <rPr>
            <sz val="9"/>
            <color indexed="81"/>
            <rFont val="Tahoma"/>
            <family val="2"/>
          </rPr>
          <t xml:space="preserve">
P10-</t>
        </r>
        <r>
          <rPr>
            <sz val="9"/>
            <color indexed="81"/>
            <rFont val="돋움"/>
            <family val="3"/>
            <charset val="129"/>
          </rPr>
          <t>표</t>
        </r>
        <r>
          <rPr>
            <sz val="9"/>
            <color indexed="81"/>
            <rFont val="Tahoma"/>
            <family val="2"/>
          </rPr>
          <t>7</t>
        </r>
      </text>
    </comment>
    <comment ref="O4" authorId="1" shapeId="0">
      <text>
        <r>
          <rPr>
            <b/>
            <sz val="9"/>
            <color indexed="81"/>
            <rFont val="Tahoma"/>
            <family val="2"/>
          </rPr>
          <t xml:space="preserve">EN15193-1 Annex E
</t>
        </r>
      </text>
    </comment>
    <comment ref="N7" authorId="1" shapeId="0">
      <text>
        <r>
          <rPr>
            <b/>
            <sz val="9"/>
            <color indexed="81"/>
            <rFont val="돋움"/>
            <family val="3"/>
            <charset val="129"/>
          </rPr>
          <t>노인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주거실과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</t>
        </r>
      </text>
    </comment>
    <comment ref="Q7" authorId="1" shapeId="0">
      <text>
        <r>
          <rPr>
            <b/>
            <sz val="9"/>
            <color indexed="81"/>
            <rFont val="Tahoma"/>
            <family val="2"/>
          </rPr>
          <t>EN 16798-1 AnnexC</t>
        </r>
      </text>
    </comment>
    <comment ref="R7" authorId="1" shapeId="0">
      <text>
        <r>
          <rPr>
            <b/>
            <sz val="9"/>
            <color indexed="81"/>
            <rFont val="Tahoma"/>
            <family val="2"/>
          </rPr>
          <t>EN 16798-1 AnnexC</t>
        </r>
      </text>
    </comment>
    <comment ref="Z7" authorId="1" shapeId="0">
      <text>
        <r>
          <rPr>
            <b/>
            <sz val="9"/>
            <color indexed="81"/>
            <rFont val="돋움"/>
            <family val="3"/>
            <charset val="129"/>
          </rPr>
          <t>천장고</t>
        </r>
        <r>
          <rPr>
            <b/>
            <sz val="9"/>
            <color indexed="81"/>
            <rFont val="Tahoma"/>
            <family val="2"/>
          </rPr>
          <t xml:space="preserve"> 2.6m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환기횟수</t>
        </r>
        <r>
          <rPr>
            <b/>
            <sz val="9"/>
            <color indexed="81"/>
            <rFont val="Tahoma"/>
            <family val="2"/>
          </rPr>
          <t xml:space="preserve"> 0.5</t>
        </r>
        <r>
          <rPr>
            <b/>
            <sz val="9"/>
            <color indexed="81"/>
            <rFont val="돋움"/>
            <family val="3"/>
            <charset val="129"/>
          </rPr>
          <t>회적용시</t>
        </r>
      </text>
    </comment>
    <comment ref="N8" authorId="1" shapeId="0">
      <text>
        <r>
          <rPr>
            <b/>
            <sz val="9"/>
            <color indexed="81"/>
            <rFont val="돋움"/>
            <family val="3"/>
            <charset val="129"/>
          </rPr>
          <t>노인주거실과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</t>
        </r>
      </text>
    </comment>
    <comment ref="Q8" authorId="1" shapeId="0">
      <text>
        <r>
          <rPr>
            <b/>
            <sz val="9"/>
            <color indexed="81"/>
            <rFont val="Tahoma"/>
            <family val="2"/>
          </rPr>
          <t>EN 16798-1 AnnexC</t>
        </r>
      </text>
    </comment>
    <comment ref="R8" authorId="1" shapeId="0">
      <text>
        <r>
          <rPr>
            <b/>
            <sz val="9"/>
            <color indexed="81"/>
            <rFont val="Tahoma"/>
            <family val="2"/>
          </rPr>
          <t>EN 16798-1 AnnexC</t>
        </r>
      </text>
    </comment>
    <comment ref="D9" authorId="1" shapeId="0">
      <text>
        <r>
          <rPr>
            <b/>
            <sz val="9"/>
            <color indexed="81"/>
            <rFont val="Tahoma"/>
            <family val="2"/>
          </rPr>
          <t xml:space="preserve">ECO2 </t>
        </r>
        <r>
          <rPr>
            <b/>
            <sz val="9"/>
            <color indexed="81"/>
            <rFont val="돋움"/>
            <family val="3"/>
            <charset val="129"/>
          </rPr>
          <t>동일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 xml:space="preserve">EN 16798-1 </t>
        </r>
        <r>
          <rPr>
            <b/>
            <sz val="9"/>
            <color indexed="81"/>
            <rFont val="돋움"/>
            <family val="3"/>
            <charset val="129"/>
          </rPr>
          <t>계산값적용</t>
        </r>
      </text>
    </comment>
    <comment ref="AA9" authorId="1" shapeId="0">
      <text>
        <r>
          <rPr>
            <b/>
            <sz val="9"/>
            <color indexed="81"/>
            <rFont val="Tahoma"/>
            <family val="2"/>
          </rPr>
          <t>sungjung_park:</t>
        </r>
        <r>
          <rPr>
            <sz val="9"/>
            <color indexed="81"/>
            <rFont val="Tahoma"/>
            <family val="2"/>
          </rPr>
          <t xml:space="preserve">
EN 16798-1 </t>
        </r>
        <r>
          <rPr>
            <sz val="9"/>
            <color indexed="81"/>
            <rFont val="돋움"/>
            <family val="3"/>
            <charset val="129"/>
          </rPr>
          <t>비재실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1.3 + </t>
        </r>
        <r>
          <rPr>
            <sz val="9"/>
            <color indexed="81"/>
            <rFont val="돋움"/>
            <family val="3"/>
            <charset val="129"/>
          </rPr>
          <t>바닥오염제거</t>
        </r>
        <r>
          <rPr>
            <sz val="9"/>
            <color indexed="81"/>
            <rFont val="Tahoma"/>
            <family val="2"/>
          </rPr>
          <t xml:space="preserve"> 0.2 </t>
        </r>
        <r>
          <rPr>
            <sz val="9"/>
            <color indexed="81"/>
            <rFont val="돋움"/>
            <family val="3"/>
            <charset val="129"/>
          </rPr>
          <t>적용</t>
        </r>
      </text>
    </comment>
    <comment ref="D10" authorId="1" shapeId="0">
      <text>
        <r>
          <rPr>
            <b/>
            <sz val="9"/>
            <color indexed="81"/>
            <rFont val="Tahoma"/>
            <family val="2"/>
          </rPr>
          <t>EN16798-1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Q10" authorId="1" shapeId="0">
      <text>
        <r>
          <rPr>
            <b/>
            <sz val="9"/>
            <color indexed="81"/>
            <rFont val="Tahoma"/>
            <family val="2"/>
          </rPr>
          <t>EN 16798-1 AnnexC</t>
        </r>
      </text>
    </comment>
    <comment ref="R10" authorId="1" shapeId="0">
      <text>
        <r>
          <rPr>
            <b/>
            <sz val="9"/>
            <color indexed="81"/>
            <rFont val="Tahoma"/>
            <family val="2"/>
          </rPr>
          <t>EN 16798-1 AnnexC</t>
        </r>
      </text>
    </comment>
    <comment ref="D11" authorId="1" shapeId="0">
      <text>
        <r>
          <rPr>
            <b/>
            <sz val="9"/>
            <color indexed="81"/>
            <rFont val="Tahoma"/>
            <family val="2"/>
          </rPr>
          <t>EN16798-1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1" authorId="1" shapeId="0">
      <text>
        <r>
          <rPr>
            <b/>
            <sz val="9"/>
            <color indexed="81"/>
            <rFont val="Tahoma"/>
            <family val="2"/>
          </rPr>
          <t>EN 16798-1 AnnexC</t>
        </r>
      </text>
    </comment>
    <comment ref="R11" authorId="1" shapeId="0">
      <text>
        <r>
          <rPr>
            <b/>
            <sz val="9"/>
            <color indexed="81"/>
            <rFont val="Tahoma"/>
            <family val="2"/>
          </rPr>
          <t>EN 16798-1 AnnexC</t>
        </r>
      </text>
    </comment>
    <comment ref="D12" authorId="1" shapeId="0">
      <text>
        <r>
          <rPr>
            <b/>
            <sz val="9"/>
            <color indexed="81"/>
            <rFont val="Tahoma"/>
            <family val="2"/>
          </rPr>
          <t xml:space="preserve">ECO2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Q12" authorId="1" shapeId="0">
      <text>
        <r>
          <rPr>
            <b/>
            <sz val="9"/>
            <color indexed="81"/>
            <rFont val="Tahoma"/>
            <family val="2"/>
          </rPr>
          <t>EN 16798-1 AnnexC</t>
        </r>
      </text>
    </comment>
    <comment ref="R12" authorId="1" shapeId="0">
      <text>
        <r>
          <rPr>
            <b/>
            <sz val="9"/>
            <color indexed="81"/>
            <rFont val="Tahoma"/>
            <family val="2"/>
          </rPr>
          <t>EN 16798-1 AnnexC</t>
        </r>
      </text>
    </comment>
    <comment ref="D13" authorId="1" shapeId="0">
      <text>
        <r>
          <rPr>
            <b/>
            <sz val="9"/>
            <color indexed="81"/>
            <rFont val="Tahoma"/>
            <family val="2"/>
          </rPr>
          <t xml:space="preserve">ECO2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D14" authorId="1" shapeId="0">
      <text>
        <r>
          <rPr>
            <sz val="9"/>
            <color indexed="81"/>
            <rFont val="Tahoma"/>
            <family val="2"/>
          </rPr>
          <t xml:space="preserve">ECO2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공공건물기준임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Q14" authorId="1" shapeId="0">
      <text>
        <r>
          <rPr>
            <b/>
            <sz val="9"/>
            <color indexed="81"/>
            <rFont val="Tahoma"/>
            <family val="2"/>
          </rPr>
          <t xml:space="preserve">EN 16798-1 AnnexC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17</t>
        </r>
        <r>
          <rPr>
            <b/>
            <sz val="9"/>
            <color indexed="81"/>
            <rFont val="돋움"/>
            <family val="3"/>
            <charset val="129"/>
          </rPr>
          <t>제시됨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국내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현실고려</t>
        </r>
        <r>
          <rPr>
            <b/>
            <sz val="9"/>
            <color indexed="81"/>
            <rFont val="Tahoma"/>
            <family val="2"/>
          </rPr>
          <t xml:space="preserve"> 20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설정함</t>
        </r>
      </text>
    </comment>
    <comment ref="R14" authorId="1" shapeId="0">
      <text>
        <r>
          <rPr>
            <b/>
            <sz val="9"/>
            <color indexed="81"/>
            <rFont val="Tahoma"/>
            <family val="2"/>
          </rPr>
          <t>EN 16798-1 AnnexC</t>
        </r>
      </text>
    </comment>
    <comment ref="D15" authorId="1" shapeId="0">
      <text>
        <r>
          <rPr>
            <b/>
            <sz val="9"/>
            <color indexed="81"/>
            <rFont val="Tahoma"/>
            <family val="2"/>
          </rPr>
          <t xml:space="preserve">EN16798-1 </t>
        </r>
        <r>
          <rPr>
            <b/>
            <sz val="9"/>
            <color indexed="81"/>
            <rFont val="돋움"/>
            <family val="3"/>
            <charset val="129"/>
          </rPr>
          <t>용도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E15" authorId="1" shapeId="0">
      <text>
        <r>
          <rPr>
            <b/>
            <sz val="9"/>
            <color indexed="81"/>
            <rFont val="Tahoma"/>
            <family val="2"/>
          </rPr>
          <t xml:space="preserve">EN 16798-1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Q15" authorId="1" shapeId="0">
      <text>
        <r>
          <rPr>
            <b/>
            <sz val="9"/>
            <color indexed="81"/>
            <rFont val="Tahoma"/>
            <family val="2"/>
          </rPr>
          <t xml:space="preserve">EN 16798-1 AnnexC
17.5 </t>
        </r>
        <r>
          <rPr>
            <b/>
            <sz val="9"/>
            <color indexed="81"/>
            <rFont val="돋움"/>
            <family val="3"/>
            <charset val="129"/>
          </rPr>
          <t>제시됨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국내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현실고려</t>
        </r>
        <r>
          <rPr>
            <b/>
            <sz val="9"/>
            <color indexed="81"/>
            <rFont val="Tahoma"/>
            <family val="2"/>
          </rPr>
          <t xml:space="preserve"> 20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  <comment ref="R15" authorId="1" shapeId="0">
      <text>
        <r>
          <rPr>
            <b/>
            <sz val="9"/>
            <color indexed="81"/>
            <rFont val="Tahoma"/>
            <family val="2"/>
          </rPr>
          <t>EN 16798-1 AnnexC</t>
        </r>
      </text>
    </comment>
    <comment ref="D16" authorId="1" shapeId="0">
      <text>
        <r>
          <rPr>
            <b/>
            <sz val="9"/>
            <color indexed="81"/>
            <rFont val="Tahoma"/>
            <family val="2"/>
          </rPr>
          <t xml:space="preserve">EN 16798-1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E16" authorId="1" shapeId="0">
      <text>
        <r>
          <rPr>
            <b/>
            <sz val="9"/>
            <color indexed="81"/>
            <rFont val="Tahoma"/>
            <family val="2"/>
          </rPr>
          <t xml:space="preserve">EN 16798-1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Q16" authorId="1" shapeId="0">
      <text>
        <r>
          <rPr>
            <b/>
            <sz val="9"/>
            <color indexed="81"/>
            <rFont val="Tahoma"/>
            <family val="2"/>
          </rPr>
          <t>EN 16798-1 AnnexC</t>
        </r>
      </text>
    </comment>
    <comment ref="R16" authorId="1" shapeId="0">
      <text>
        <r>
          <rPr>
            <b/>
            <sz val="9"/>
            <color indexed="81"/>
            <rFont val="Tahoma"/>
            <family val="2"/>
          </rPr>
          <t>EN 16798-1 AnnexC</t>
        </r>
      </text>
    </comment>
    <comment ref="D17" authorId="1" shapeId="0">
      <text>
        <r>
          <rPr>
            <b/>
            <sz val="9"/>
            <color indexed="81"/>
            <rFont val="Tahoma"/>
            <family val="2"/>
          </rPr>
          <t xml:space="preserve">ECO2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Q17" authorId="1" shapeId="0">
      <text>
        <r>
          <rPr>
            <b/>
            <sz val="9"/>
            <color indexed="81"/>
            <rFont val="Tahoma"/>
            <family val="2"/>
          </rPr>
          <t>EN 16798-1 AnnexC</t>
        </r>
      </text>
    </comment>
    <comment ref="R17" authorId="1" shapeId="0">
      <text>
        <r>
          <rPr>
            <b/>
            <sz val="9"/>
            <color indexed="81"/>
            <rFont val="Tahoma"/>
            <family val="2"/>
          </rPr>
          <t>EN 16798-1 AnnexC</t>
        </r>
      </text>
    </comment>
    <comment ref="AC17" authorId="1" shapeId="0">
      <text>
        <r>
          <rPr>
            <b/>
            <sz val="9"/>
            <color indexed="81"/>
            <rFont val="Tahoma"/>
            <family val="2"/>
          </rPr>
          <t>sungjung_park: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사람이용시간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이용시간</t>
        </r>
      </text>
    </comment>
    <comment ref="AE17" authorId="1" shapeId="0">
      <text>
        <r>
          <rPr>
            <b/>
            <sz val="9"/>
            <color indexed="81"/>
            <rFont val="Tahoma"/>
            <family val="2"/>
          </rPr>
          <t>sungjung_park:</t>
        </r>
        <r>
          <rPr>
            <sz val="9"/>
            <color indexed="81"/>
            <rFont val="Tahoma"/>
            <family val="2"/>
          </rPr>
          <t xml:space="preserve">
ECO2 </t>
        </r>
        <r>
          <rPr>
            <sz val="9"/>
            <color indexed="81"/>
            <rFont val="돋움"/>
            <family val="3"/>
            <charset val="129"/>
          </rPr>
          <t>적용</t>
        </r>
      </text>
    </comment>
    <comment ref="AF17" authorId="1" shapeId="0">
      <text>
        <r>
          <rPr>
            <b/>
            <sz val="9"/>
            <color indexed="81"/>
            <rFont val="Tahoma"/>
            <family val="2"/>
          </rPr>
          <t>sungjung_park:</t>
        </r>
        <r>
          <rPr>
            <sz val="9"/>
            <color indexed="81"/>
            <rFont val="Tahoma"/>
            <family val="2"/>
          </rPr>
          <t xml:space="preserve">
+2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</text>
    </comment>
    <comment ref="D18" authorId="1" shapeId="0">
      <text>
        <r>
          <rPr>
            <b/>
            <sz val="9"/>
            <color indexed="81"/>
            <rFont val="Tahoma"/>
            <family val="2"/>
          </rPr>
          <t xml:space="preserve">ECO2 </t>
        </r>
        <r>
          <rPr>
            <b/>
            <sz val="9"/>
            <color indexed="81"/>
            <rFont val="돋움"/>
            <family val="3"/>
            <charset val="129"/>
          </rPr>
          <t>용도프로필</t>
        </r>
      </text>
    </comment>
    <comment ref="D20" authorId="1" shapeId="0">
      <text>
        <r>
          <rPr>
            <b/>
            <sz val="9"/>
            <color indexed="81"/>
            <rFont val="Tahoma"/>
            <family val="2"/>
          </rPr>
          <t>ECO2</t>
        </r>
      </text>
    </comment>
    <comment ref="E20" authorId="1" shapeId="0">
      <text>
        <r>
          <rPr>
            <b/>
            <sz val="9"/>
            <color indexed="81"/>
            <rFont val="Tahoma"/>
            <family val="2"/>
          </rPr>
          <t>ECO2</t>
        </r>
      </text>
    </comment>
    <comment ref="AC23" authorId="2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원래는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이었는데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구내식당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</text>
    </comment>
    <comment ref="AC24" authorId="2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원래는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이었는데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구내식당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</text>
    </comment>
    <comment ref="N30" authorId="1" shapeId="0">
      <text>
        <r>
          <rPr>
            <b/>
            <sz val="9"/>
            <color indexed="81"/>
            <rFont val="돋움"/>
            <family val="3"/>
            <charset val="129"/>
          </rPr>
          <t>학교교실과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동일함</t>
        </r>
      </text>
    </comment>
    <comment ref="Z30" authorId="1" shapeId="0">
      <text>
        <r>
          <rPr>
            <b/>
            <sz val="9"/>
            <color indexed="81"/>
            <rFont val="돋움"/>
            <family val="3"/>
            <charset val="129"/>
          </rPr>
          <t>강의실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수준</t>
        </r>
      </text>
    </comment>
    <comment ref="AC30" authorId="1" shapeId="0">
      <text>
        <r>
          <rPr>
            <b/>
            <sz val="9"/>
            <color indexed="81"/>
            <rFont val="Tahoma"/>
            <family val="2"/>
          </rPr>
          <t>sungjung_park: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강의실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수준</t>
        </r>
      </text>
    </comment>
    <comment ref="AE30" authorId="1" shapeId="0">
      <text>
        <r>
          <rPr>
            <b/>
            <sz val="9"/>
            <color indexed="81"/>
            <rFont val="Tahoma"/>
            <family val="2"/>
          </rPr>
          <t>sungjung_park:</t>
        </r>
        <r>
          <rPr>
            <sz val="9"/>
            <color indexed="81"/>
            <rFont val="Tahoma"/>
            <family val="2"/>
          </rPr>
          <t xml:space="preserve">
ECO2 </t>
        </r>
        <r>
          <rPr>
            <sz val="9"/>
            <color indexed="81"/>
            <rFont val="돋움"/>
            <family val="3"/>
            <charset val="129"/>
          </rPr>
          <t>적용</t>
        </r>
      </text>
    </comment>
    <comment ref="AF30" authorId="1" shapeId="0">
      <text>
        <r>
          <rPr>
            <b/>
            <sz val="9"/>
            <color indexed="81"/>
            <rFont val="Tahoma"/>
            <family val="2"/>
          </rPr>
          <t>sungjung_park:</t>
        </r>
        <r>
          <rPr>
            <sz val="9"/>
            <color indexed="81"/>
            <rFont val="Tahoma"/>
            <family val="2"/>
          </rPr>
          <t xml:space="preserve">
+2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</text>
    </comment>
    <comment ref="AM30" authorId="1" shapeId="0">
      <text>
        <r>
          <rPr>
            <b/>
            <sz val="9"/>
            <color indexed="81"/>
            <rFont val="돋움"/>
            <family val="3"/>
            <charset val="129"/>
          </rPr>
          <t>모니터</t>
        </r>
        <r>
          <rPr>
            <b/>
            <sz val="9"/>
            <color indexed="81"/>
            <rFont val="Tahoma"/>
            <family val="2"/>
          </rPr>
          <t xml:space="preserve">:60W, 
</t>
        </r>
        <r>
          <rPr>
            <b/>
            <sz val="9"/>
            <color indexed="81"/>
            <rFont val="돋움"/>
            <family val="3"/>
            <charset val="129"/>
          </rPr>
          <t>본체</t>
        </r>
        <r>
          <rPr>
            <b/>
            <sz val="9"/>
            <color indexed="81"/>
            <rFont val="Tahoma"/>
            <family val="2"/>
          </rPr>
          <t xml:space="preserve">: 200W
CPU: 65W, </t>
        </r>
        <r>
          <rPr>
            <b/>
            <sz val="9"/>
            <color indexed="81"/>
            <rFont val="돋움"/>
            <family val="3"/>
            <charset val="129"/>
          </rPr>
          <t>그래픽</t>
        </r>
        <r>
          <rPr>
            <b/>
            <sz val="9"/>
            <color indexed="81"/>
            <rFont val="Tahoma"/>
            <family val="2"/>
          </rPr>
          <t xml:space="preserve"> 100W+</t>
        </r>
        <r>
          <rPr>
            <b/>
            <sz val="9"/>
            <color indexed="81"/>
            <rFont val="돋움"/>
            <family val="3"/>
            <charset val="129"/>
          </rPr>
          <t>나머지</t>
        </r>
        <r>
          <rPr>
            <b/>
            <sz val="9"/>
            <color indexed="81"/>
            <rFont val="Tahoma"/>
            <family val="2"/>
          </rPr>
          <t>35W</t>
        </r>
      </text>
    </comment>
    <comment ref="AA31" authorId="2" shapeId="0">
      <text>
        <r>
          <rPr>
            <b/>
            <sz val="9"/>
            <color indexed="81"/>
            <rFont val="Tahoma"/>
            <family val="2"/>
          </rPr>
          <t xml:space="preserve">EN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AA32" authorId="2" shapeId="0">
      <text>
        <r>
          <rPr>
            <b/>
            <sz val="9"/>
            <color indexed="81"/>
            <rFont val="Tahoma"/>
            <family val="2"/>
          </rPr>
          <t xml:space="preserve">User:
</t>
        </r>
        <r>
          <rPr>
            <b/>
            <sz val="9"/>
            <color indexed="81"/>
            <rFont val="돋움"/>
            <family val="3"/>
            <charset val="129"/>
          </rPr>
          <t>개별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운영방식에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적용되나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개인사무실값으로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AC32" authorId="2" shapeId="0">
      <text>
        <r>
          <rPr>
            <b/>
            <sz val="9"/>
            <color indexed="81"/>
            <rFont val="Tahoma"/>
            <family val="2"/>
          </rPr>
          <t xml:space="preserve">User:
</t>
        </r>
        <r>
          <rPr>
            <b/>
            <sz val="9"/>
            <color indexed="81"/>
            <rFont val="돋움"/>
            <family val="3"/>
            <charset val="129"/>
          </rPr>
          <t>개별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운영방식에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적용되나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개인사무실값으로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AA33" authorId="2" shapeId="0">
      <text>
        <r>
          <rPr>
            <b/>
            <sz val="9"/>
            <color indexed="81"/>
            <rFont val="Tahoma"/>
            <family val="2"/>
          </rPr>
          <t xml:space="preserve">User:
</t>
        </r>
        <r>
          <rPr>
            <b/>
            <sz val="9"/>
            <color indexed="81"/>
            <rFont val="돋움"/>
            <family val="3"/>
            <charset val="129"/>
          </rPr>
          <t>개별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운영방식에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적용되나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개인사무실값으로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AC33" authorId="2" shapeId="0">
      <text>
        <r>
          <rPr>
            <b/>
            <sz val="9"/>
            <color indexed="81"/>
            <rFont val="Tahoma"/>
            <family val="2"/>
          </rPr>
          <t xml:space="preserve">User:
</t>
        </r>
        <r>
          <rPr>
            <b/>
            <sz val="9"/>
            <color indexed="81"/>
            <rFont val="돋움"/>
            <family val="3"/>
            <charset val="129"/>
          </rPr>
          <t>개별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운영방식에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적용되나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개인사무실값으로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AC42" authorId="1" shapeId="0">
      <text>
        <r>
          <rPr>
            <b/>
            <sz val="9"/>
            <color indexed="81"/>
            <rFont val="Tahoma"/>
            <family val="2"/>
          </rPr>
          <t>sungjung_park: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채육관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</text>
    </comment>
    <comment ref="AD42" authorId="1" shapeId="0">
      <text>
        <r>
          <rPr>
            <b/>
            <sz val="9"/>
            <color indexed="81"/>
            <rFont val="Tahoma"/>
            <family val="2"/>
          </rPr>
          <t>sungjung_park: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체육관적용</t>
        </r>
      </text>
    </comment>
    <comment ref="AA44" authorId="2" shapeId="0">
      <text>
        <r>
          <rPr>
            <b/>
            <sz val="9"/>
            <color indexed="81"/>
            <rFont val="Tahoma"/>
            <family val="2"/>
          </rPr>
          <t xml:space="preserve">User:
</t>
        </r>
        <r>
          <rPr>
            <b/>
            <sz val="9"/>
            <color indexed="81"/>
            <rFont val="돋움"/>
            <family val="3"/>
            <charset val="129"/>
          </rPr>
          <t>개별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운영방식에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적용되나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개인사무실값으로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AC44" authorId="2" shapeId="0">
      <text>
        <r>
          <rPr>
            <b/>
            <sz val="9"/>
            <color indexed="81"/>
            <rFont val="Tahoma"/>
            <family val="2"/>
          </rPr>
          <t>50%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감소운전</t>
        </r>
        <r>
          <rPr>
            <b/>
            <sz val="9"/>
            <color indexed="81"/>
            <rFont val="Tahoma"/>
            <family val="2"/>
          </rPr>
          <t xml:space="preserve">(DIN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D44" authorId="1" shapeId="0">
      <text>
        <r>
          <rPr>
            <b/>
            <sz val="9"/>
            <color indexed="81"/>
            <rFont val="Tahoma"/>
            <family val="2"/>
          </rPr>
          <t>50%</t>
        </r>
        <r>
          <rPr>
            <b/>
            <sz val="9"/>
            <color indexed="81"/>
            <rFont val="돋움"/>
            <family val="3"/>
            <charset val="129"/>
          </rPr>
          <t>감소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운전</t>
        </r>
        <r>
          <rPr>
            <b/>
            <sz val="9"/>
            <color indexed="81"/>
            <rFont val="Tahoma"/>
            <family val="2"/>
          </rPr>
          <t xml:space="preserve"> (DIN </t>
        </r>
        <r>
          <rPr>
            <b/>
            <sz val="9"/>
            <color indexed="81"/>
            <rFont val="돋움"/>
            <family val="3"/>
            <charset val="129"/>
          </rPr>
          <t>규정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Z45" authorId="1" shapeId="0">
      <text>
        <r>
          <rPr>
            <b/>
            <sz val="9"/>
            <color indexed="81"/>
            <rFont val="돋움"/>
            <family val="3"/>
            <charset val="129"/>
          </rPr>
          <t>밀도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병실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수준으로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적용함</t>
        </r>
      </text>
    </comment>
    <comment ref="AC45" authorId="1" shapeId="0">
      <text>
        <r>
          <rPr>
            <b/>
            <sz val="9"/>
            <color indexed="81"/>
            <rFont val="돋움"/>
            <family val="3"/>
            <charset val="129"/>
          </rPr>
          <t>객실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AD45" authorId="1" shapeId="0">
      <text>
        <r>
          <rPr>
            <b/>
            <sz val="9"/>
            <color indexed="81"/>
            <rFont val="돋움"/>
            <family val="3"/>
            <charset val="129"/>
          </rPr>
          <t>주거시설과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적용함</t>
        </r>
      </text>
    </comment>
    <comment ref="AH45" authorId="1" shapeId="0">
      <text>
        <r>
          <rPr>
            <b/>
            <sz val="9"/>
            <color indexed="81"/>
            <rFont val="돋움"/>
            <family val="3"/>
            <charset val="129"/>
          </rPr>
          <t>논문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</text>
    </comment>
    <comment ref="AM45" authorId="1" shapeId="0">
      <text>
        <r>
          <rPr>
            <b/>
            <sz val="9"/>
            <color indexed="81"/>
            <rFont val="돋움"/>
            <family val="3"/>
            <charset val="129"/>
          </rPr>
          <t>객실과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</t>
        </r>
      </text>
    </comment>
    <comment ref="Z46" authorId="1" shapeId="0">
      <text>
        <r>
          <rPr>
            <b/>
            <sz val="9"/>
            <color indexed="81"/>
            <rFont val="돋움"/>
            <family val="3"/>
            <charset val="129"/>
          </rPr>
          <t>객실과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</t>
        </r>
      </text>
    </comment>
    <comment ref="AC46" authorId="1" shapeId="0">
      <text>
        <r>
          <rPr>
            <b/>
            <sz val="9"/>
            <color indexed="81"/>
            <rFont val="Tahoma"/>
            <family val="2"/>
          </rPr>
          <t>sungjung_park: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46" authorId="1" shapeId="0">
      <text>
        <r>
          <rPr>
            <b/>
            <sz val="9"/>
            <color indexed="81"/>
            <rFont val="돋움"/>
            <family val="3"/>
            <charset val="129"/>
          </rPr>
          <t>공동주택과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동일함</t>
        </r>
      </text>
    </comment>
    <comment ref="L49" authorId="1" shapeId="0">
      <text>
        <r>
          <rPr>
            <b/>
            <sz val="9"/>
            <color indexed="81"/>
            <rFont val="Tahoma"/>
            <family val="2"/>
          </rPr>
          <t xml:space="preserve">EN 12464-1 </t>
        </r>
        <r>
          <rPr>
            <b/>
            <sz val="9"/>
            <color indexed="81"/>
            <rFont val="돋움"/>
            <family val="3"/>
            <charset val="129"/>
          </rPr>
          <t>조도기준</t>
        </r>
      </text>
    </comment>
    <comment ref="AC49" authorId="1" shapeId="0">
      <text>
        <r>
          <rPr>
            <b/>
            <sz val="9"/>
            <color indexed="81"/>
            <rFont val="돋움"/>
            <family val="3"/>
            <charset val="129"/>
          </rPr>
          <t>체육관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</t>
        </r>
      </text>
    </comment>
    <comment ref="L50" authorId="1" shapeId="0">
      <text>
        <r>
          <rPr>
            <b/>
            <sz val="9"/>
            <color indexed="81"/>
            <rFont val="돋움"/>
            <family val="3"/>
            <charset val="129"/>
          </rPr>
          <t>화장실과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동일함</t>
        </r>
      </text>
    </comment>
  </commentList>
</comments>
</file>

<file path=xl/sharedStrings.xml><?xml version="1.0" encoding="utf-8"?>
<sst xmlns="http://schemas.openxmlformats.org/spreadsheetml/2006/main" count="259" uniqueCount="234">
  <si>
    <t>재실시간 / 이용시간</t>
    <phoneticPr fontId="3" type="noConversion"/>
  </si>
  <si>
    <t>조명</t>
    <phoneticPr fontId="3" type="noConversion"/>
  </si>
  <si>
    <t>실내환경</t>
    <phoneticPr fontId="3" type="noConversion"/>
  </si>
  <si>
    <t>내부발열</t>
    <phoneticPr fontId="3" type="noConversion"/>
  </si>
  <si>
    <t>급탕</t>
    <phoneticPr fontId="3" type="noConversion"/>
  </si>
  <si>
    <t>01</t>
    <phoneticPr fontId="3" type="noConversion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</si>
  <si>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</si>
  <si>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</si>
  <si>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</si>
  <si>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</si>
  <si>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</si>
  <si>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</si>
  <si>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</si>
  <si>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</si>
  <si>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</si>
  <si>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</si>
  <si>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</si>
  <si>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</si>
  <si>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</si>
  <si>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</si>
  <si>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</si>
  <si>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</si>
  <si>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</si>
  <si>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</si>
  <si>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</si>
  <si>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</si>
  <si>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</si>
  <si>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</si>
  <si>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</si>
  <si>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</si>
  <si>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</si>
  <si>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</si>
  <si>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</si>
  <si>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</si>
  <si>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</si>
  <si>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</si>
  <si>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</si>
  <si>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</si>
  <si>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</si>
  <si>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</si>
  <si>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</si>
  <si>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</si>
  <si>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</si>
  <si>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</si>
  <si>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</si>
  <si>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이용시작시간</t>
    <phoneticPr fontId="3" type="noConversion"/>
  </si>
  <si>
    <t>이용종료시간</t>
    <phoneticPr fontId="3" type="noConversion"/>
  </si>
  <si>
    <t>일일이용시간</t>
    <phoneticPr fontId="3" type="noConversion"/>
  </si>
  <si>
    <t>연간이용일수</t>
    <phoneticPr fontId="3" type="noConversion"/>
  </si>
  <si>
    <t>방학여부</t>
    <phoneticPr fontId="3" type="noConversion"/>
  </si>
  <si>
    <t>공조/냉방 일일가동시간</t>
    <phoneticPr fontId="3" type="noConversion"/>
  </si>
  <si>
    <t>냉난방설비가동일수</t>
    <phoneticPr fontId="3" type="noConversion"/>
  </si>
  <si>
    <t>난방일일가동시간</t>
    <phoneticPr fontId="3" type="noConversion"/>
  </si>
  <si>
    <t>조도</t>
    <phoneticPr fontId="3" type="noConversion"/>
  </si>
  <si>
    <t>작업면높이</t>
    <phoneticPr fontId="3" type="noConversion"/>
  </si>
  <si>
    <t>이용영역계수</t>
    <phoneticPr fontId="3" type="noConversion"/>
  </si>
  <si>
    <t>조명이용시 부재율</t>
    <phoneticPr fontId="3" type="noConversion"/>
  </si>
  <si>
    <t>수직면기준조명계수</t>
    <phoneticPr fontId="3" type="noConversion"/>
  </si>
  <si>
    <t>난방설정온도</t>
    <phoneticPr fontId="3" type="noConversion"/>
  </si>
  <si>
    <t>냉방설정온도</t>
    <phoneticPr fontId="3" type="noConversion"/>
  </si>
  <si>
    <t>허용셋백온도</t>
    <phoneticPr fontId="3" type="noConversion"/>
  </si>
  <si>
    <t>난방최저온도</t>
    <phoneticPr fontId="3" type="noConversion"/>
  </si>
  <si>
    <t>냉방최고온도</t>
    <phoneticPr fontId="3" type="noConversion"/>
  </si>
  <si>
    <t>최저상대습도</t>
    <phoneticPr fontId="3" type="noConversion"/>
  </si>
  <si>
    <t>최고상대습도</t>
    <phoneticPr fontId="3" type="noConversion"/>
  </si>
  <si>
    <t>겨울습기발생량</t>
    <phoneticPr fontId="3" type="noConversion"/>
  </si>
  <si>
    <t>여름 습기발생량</t>
    <phoneticPr fontId="3" type="noConversion"/>
  </si>
  <si>
    <t>필요외기도입량</t>
    <phoneticPr fontId="3" type="noConversion"/>
  </si>
  <si>
    <t>비이용일 최소외기도입량</t>
    <phoneticPr fontId="3" type="noConversion"/>
  </si>
  <si>
    <t>이용일 최소외기도입량</t>
    <phoneticPr fontId="3" type="noConversion"/>
  </si>
  <si>
    <t>공조운전시 부재율</t>
    <phoneticPr fontId="3" type="noConversion"/>
  </si>
  <si>
    <t>공조/냉방 부분운전계수</t>
    <phoneticPr fontId="3" type="noConversion"/>
  </si>
  <si>
    <t>사람일일이용시간</t>
    <phoneticPr fontId="3" type="noConversion"/>
  </si>
  <si>
    <t>기기일일이용시간</t>
    <phoneticPr fontId="3" type="noConversion"/>
  </si>
  <si>
    <t>재실밀도_보통</t>
    <phoneticPr fontId="3" type="noConversion"/>
  </si>
  <si>
    <t>재실밀도_높음</t>
    <phoneticPr fontId="3" type="noConversion"/>
  </si>
  <si>
    <t>인체발열_낮음</t>
    <phoneticPr fontId="3" type="noConversion"/>
  </si>
  <si>
    <t>인체발열_보통</t>
    <phoneticPr fontId="3" type="noConversion"/>
  </si>
  <si>
    <t>인체발열_높음</t>
    <phoneticPr fontId="3" type="noConversion"/>
  </si>
  <si>
    <t>기기발열_낮음</t>
    <phoneticPr fontId="3" type="noConversion"/>
  </si>
  <si>
    <t>기기발열_보통</t>
    <phoneticPr fontId="3" type="noConversion"/>
  </si>
  <si>
    <t>기기발열_높음</t>
    <phoneticPr fontId="3" type="noConversion"/>
  </si>
  <si>
    <t>급탕요구량</t>
    <phoneticPr fontId="3" type="noConversion"/>
  </si>
  <si>
    <t>종업원수</t>
    <phoneticPr fontId="3" type="noConversion"/>
  </si>
  <si>
    <t>-</t>
    <phoneticPr fontId="3" type="noConversion"/>
  </si>
  <si>
    <t>-</t>
    <phoneticPr fontId="3" type="noConversion"/>
  </si>
  <si>
    <t>twd,d</t>
    <phoneticPr fontId="3" type="noConversion"/>
  </si>
  <si>
    <t>dwd,a</t>
    <phoneticPr fontId="3" type="noConversion"/>
  </si>
  <si>
    <t>tv,op,d</t>
    <phoneticPr fontId="3" type="noConversion"/>
  </si>
  <si>
    <t>dop,a</t>
    <phoneticPr fontId="3" type="noConversion"/>
  </si>
  <si>
    <t>th,op,d</t>
    <phoneticPr fontId="3" type="noConversion"/>
  </si>
  <si>
    <t>Em</t>
    <phoneticPr fontId="3" type="noConversion"/>
  </si>
  <si>
    <r>
      <t>h</t>
    </r>
    <r>
      <rPr>
        <vertAlign val="subscript"/>
        <sz val="10"/>
        <color theme="1"/>
        <rFont val="맑은 고딕"/>
        <family val="3"/>
        <charset val="129"/>
        <scheme val="minor"/>
      </rPr>
      <t>Ne</t>
    </r>
    <phoneticPr fontId="3" type="noConversion"/>
  </si>
  <si>
    <r>
      <t>F</t>
    </r>
    <r>
      <rPr>
        <vertAlign val="subscript"/>
        <sz val="10"/>
        <color theme="1"/>
        <rFont val="맑은 고딕"/>
        <family val="3"/>
        <charset val="129"/>
        <scheme val="minor"/>
      </rPr>
      <t>CA</t>
    </r>
    <phoneticPr fontId="3" type="noConversion"/>
  </si>
  <si>
    <r>
      <rPr>
        <sz val="10"/>
        <color theme="1"/>
        <rFont val="맑은 고딕"/>
        <family val="3"/>
        <charset val="129"/>
        <scheme val="minor"/>
      </rPr>
      <t>F</t>
    </r>
    <r>
      <rPr>
        <vertAlign val="subscript"/>
        <sz val="10"/>
        <color theme="1"/>
        <rFont val="맑은 고딕"/>
        <family val="3"/>
        <charset val="129"/>
        <scheme val="minor"/>
      </rPr>
      <t>A</t>
    </r>
    <phoneticPr fontId="3" type="noConversion"/>
  </si>
  <si>
    <t>kVB</t>
    <phoneticPr fontId="3" type="noConversion"/>
  </si>
  <si>
    <t>θi,h,soll</t>
    <phoneticPr fontId="3" type="noConversion"/>
  </si>
  <si>
    <t>θi,c,soll</t>
    <phoneticPr fontId="3" type="noConversion"/>
  </si>
  <si>
    <t>Δθi,NA</t>
    <phoneticPr fontId="3" type="noConversion"/>
  </si>
  <si>
    <t>θi,h,min</t>
    <phoneticPr fontId="3" type="noConversion"/>
  </si>
  <si>
    <t>θi,c,max</t>
    <phoneticPr fontId="3" type="noConversion"/>
  </si>
  <si>
    <t>VA</t>
    <phoneticPr fontId="3" type="noConversion"/>
  </si>
  <si>
    <t>VA,bldg</t>
    <phoneticPr fontId="3" type="noConversion"/>
  </si>
  <si>
    <t>VA,bldg</t>
    <phoneticPr fontId="3" type="noConversion"/>
  </si>
  <si>
    <t>cHVAC</t>
    <phoneticPr fontId="3" type="noConversion"/>
  </si>
  <si>
    <t>FHVAC</t>
    <phoneticPr fontId="3" type="noConversion"/>
  </si>
  <si>
    <t>Qw,b</t>
    <phoneticPr fontId="3" type="noConversion"/>
  </si>
  <si>
    <t>Time</t>
    <phoneticPr fontId="3" type="noConversion"/>
  </si>
  <si>
    <t>h/d</t>
  </si>
  <si>
    <t>d/a</t>
  </si>
  <si>
    <t>lx</t>
  </si>
  <si>
    <t>m</t>
    <phoneticPr fontId="3" type="noConversion"/>
  </si>
  <si>
    <t>-</t>
    <phoneticPr fontId="3" type="noConversion"/>
  </si>
  <si>
    <t>°C</t>
  </si>
  <si>
    <t>K</t>
  </si>
  <si>
    <t>%</t>
    <phoneticPr fontId="3" type="noConversion"/>
  </si>
  <si>
    <t>%</t>
    <phoneticPr fontId="3" type="noConversion"/>
  </si>
  <si>
    <t>g/(h,명)</t>
    <phoneticPr fontId="3" type="noConversion"/>
  </si>
  <si>
    <t>m³/(h ∙ m²)</t>
    <phoneticPr fontId="3" type="noConversion"/>
  </si>
  <si>
    <t>m³/(h ∙ m²)</t>
  </si>
  <si>
    <t>h/d</t>
    <phoneticPr fontId="3" type="noConversion"/>
  </si>
  <si>
    <r>
      <t>m</t>
    </r>
    <r>
      <rPr>
        <vertAlign val="superscript"/>
        <sz val="10"/>
        <color theme="1"/>
        <rFont val="맑은 고딕"/>
        <family val="3"/>
        <charset val="129"/>
        <scheme val="minor"/>
      </rPr>
      <t>2</t>
    </r>
    <r>
      <rPr>
        <sz val="10"/>
        <color theme="1"/>
        <rFont val="맑은 고딕"/>
        <family val="3"/>
        <charset val="129"/>
        <scheme val="minor"/>
      </rPr>
      <t>/인</t>
    </r>
    <phoneticPr fontId="3" type="noConversion"/>
  </si>
  <si>
    <r>
      <t>W/m</t>
    </r>
    <r>
      <rPr>
        <vertAlign val="superscript"/>
        <sz val="10"/>
        <color theme="1"/>
        <rFont val="맑은 고딕"/>
        <family val="3"/>
        <charset val="129"/>
        <scheme val="minor"/>
      </rPr>
      <t>2</t>
    </r>
    <phoneticPr fontId="3" type="noConversion"/>
  </si>
  <si>
    <r>
      <t>W/m</t>
    </r>
    <r>
      <rPr>
        <vertAlign val="superscript"/>
        <sz val="10"/>
        <color theme="1"/>
        <rFont val="맑은 고딕"/>
        <family val="3"/>
        <charset val="129"/>
        <scheme val="minor"/>
      </rPr>
      <t>2</t>
    </r>
    <phoneticPr fontId="3" type="noConversion"/>
  </si>
  <si>
    <t>kWh/인·d</t>
    <phoneticPr fontId="3" type="noConversion"/>
  </si>
  <si>
    <t>단독주택</t>
    <phoneticPr fontId="3" type="noConversion"/>
  </si>
  <si>
    <t>24:00</t>
    <phoneticPr fontId="3" type="noConversion"/>
  </si>
  <si>
    <t>공동주택</t>
    <phoneticPr fontId="3" type="noConversion"/>
  </si>
  <si>
    <t>단독 사무실</t>
    <phoneticPr fontId="3" type="noConversion"/>
  </si>
  <si>
    <t>소규모 사무실</t>
    <phoneticPr fontId="3" type="noConversion"/>
  </si>
  <si>
    <t>대규모 사무실</t>
    <phoneticPr fontId="3" type="noConversion"/>
  </si>
  <si>
    <t>회의실 및 세미나실</t>
    <phoneticPr fontId="3" type="noConversion"/>
  </si>
  <si>
    <t>로비, 홀</t>
    <phoneticPr fontId="3" type="noConversion"/>
  </si>
  <si>
    <t>매장(상점/백화점)</t>
    <phoneticPr fontId="3" type="noConversion"/>
  </si>
  <si>
    <t>어린이 교실</t>
    <phoneticPr fontId="3" type="noConversion"/>
  </si>
  <si>
    <t>교실(초,중,고)</t>
    <phoneticPr fontId="3" type="noConversion"/>
  </si>
  <si>
    <t>강의실(대학교)</t>
    <phoneticPr fontId="3" type="noConversion"/>
  </si>
  <si>
    <t>강당</t>
  </si>
  <si>
    <t>병실</t>
    <phoneticPr fontId="3" type="noConversion"/>
  </si>
  <si>
    <t>24:00</t>
    <phoneticPr fontId="3" type="noConversion"/>
  </si>
  <si>
    <t>객실</t>
  </si>
  <si>
    <t>구내식당</t>
  </si>
  <si>
    <t>레스토랑</t>
  </si>
  <si>
    <t>주방 및 조리실</t>
    <phoneticPr fontId="3" type="noConversion"/>
  </si>
  <si>
    <t>화장실, 샤워실</t>
    <phoneticPr fontId="3" type="noConversion"/>
  </si>
  <si>
    <t>그 외 체류공간</t>
    <phoneticPr fontId="3" type="noConversion"/>
  </si>
  <si>
    <t>부속공간</t>
    <phoneticPr fontId="3" type="noConversion"/>
  </si>
  <si>
    <t>복도</t>
    <phoneticPr fontId="3" type="noConversion"/>
  </si>
  <si>
    <t>창고/설비/문서실</t>
    <phoneticPr fontId="3" type="noConversion"/>
  </si>
  <si>
    <t>전산실</t>
    <phoneticPr fontId="3" type="noConversion"/>
  </si>
  <si>
    <t>컴퓨터교육실</t>
    <phoneticPr fontId="3" type="noConversion"/>
  </si>
  <si>
    <t>힘든 작업실</t>
    <phoneticPr fontId="3" type="noConversion"/>
  </si>
  <si>
    <t>다소 힘든 작업실</t>
    <phoneticPr fontId="3" type="noConversion"/>
  </si>
  <si>
    <t>일반 작업실</t>
    <phoneticPr fontId="3" type="noConversion"/>
  </si>
  <si>
    <t>객석</t>
  </si>
  <si>
    <t>공연장 무대</t>
    <phoneticPr fontId="3" type="noConversion"/>
  </si>
  <si>
    <t>박람회 및 의회실</t>
    <phoneticPr fontId="3" type="noConversion"/>
  </si>
  <si>
    <t>전시실 및 박물관</t>
    <phoneticPr fontId="3" type="noConversion"/>
  </si>
  <si>
    <t>열람실(도서관)</t>
    <phoneticPr fontId="3" type="noConversion"/>
  </si>
  <si>
    <t>체육관</t>
    <phoneticPr fontId="3" type="noConversion"/>
  </si>
  <si>
    <t>주차장1 (사무실, 개인)</t>
    <phoneticPr fontId="3" type="noConversion"/>
  </si>
  <si>
    <t>주차장2 (공공)</t>
    <phoneticPr fontId="3" type="noConversion"/>
  </si>
  <si>
    <t>24:00</t>
    <phoneticPr fontId="3" type="noConversion"/>
  </si>
  <si>
    <t>사우나 (15m2미만 욕조)</t>
    <phoneticPr fontId="3" type="noConversion"/>
  </si>
  <si>
    <t>피트니스 / 운동실</t>
    <phoneticPr fontId="3" type="noConversion"/>
  </si>
  <si>
    <t>실험 및 연구실</t>
    <phoneticPr fontId="3" type="noConversion"/>
  </si>
  <si>
    <t>병영실, 대기실</t>
    <phoneticPr fontId="3" type="noConversion"/>
  </si>
  <si>
    <t>노인 주거실</t>
    <phoneticPr fontId="3" type="noConversion"/>
  </si>
  <si>
    <t>의료 검사 및 치료실</t>
    <phoneticPr fontId="3" type="noConversion"/>
  </si>
  <si>
    <t>물류보관실</t>
    <phoneticPr fontId="3" type="noConversion"/>
  </si>
  <si>
    <t>24:00</t>
  </si>
  <si>
    <t>수영장</t>
    <phoneticPr fontId="3" type="noConversion"/>
  </si>
  <si>
    <t>세탁실</t>
    <phoneticPr fontId="3" type="noConversion"/>
  </si>
  <si>
    <t>용도명</t>
    <phoneticPr fontId="3" type="noConversion"/>
  </si>
  <si>
    <t>재실밀도_낮음</t>
  </si>
  <si>
    <t>번호+용도명</t>
    <phoneticPr fontId="3" type="noConversion"/>
  </si>
  <si>
    <t>구분</t>
    <phoneticPr fontId="3" type="noConversion"/>
  </si>
  <si>
    <t>번호</t>
    <phoneticPr fontId="3" type="noConversion"/>
  </si>
  <si>
    <t>번호+항목</t>
    <phoneticPr fontId="3" type="noConversion"/>
  </si>
  <si>
    <t>기호</t>
    <phoneticPr fontId="3" type="noConversion"/>
  </si>
  <si>
    <t>단위</t>
    <phoneticPr fontId="3" type="noConversion"/>
  </si>
  <si>
    <t>01</t>
    <phoneticPr fontId="3" type="noConversion"/>
  </si>
  <si>
    <t>02</t>
    <phoneticPr fontId="3" type="noConversion"/>
  </si>
  <si>
    <t>03</t>
    <phoneticPr fontId="3" type="noConversion"/>
  </si>
  <si>
    <t>04</t>
    <phoneticPr fontId="3" type="noConversion"/>
  </si>
  <si>
    <t>05</t>
    <phoneticPr fontId="3" type="noConversion"/>
  </si>
  <si>
    <t>06</t>
    <phoneticPr fontId="3" type="noConversion"/>
  </si>
  <si>
    <t>07</t>
    <phoneticPr fontId="3" type="noConversion"/>
  </si>
  <si>
    <t>08</t>
    <phoneticPr fontId="3" type="noConversion"/>
  </si>
  <si>
    <t>09</t>
    <phoneticPr fontId="3" type="noConversion"/>
  </si>
  <si>
    <t>10</t>
    <phoneticPr fontId="3" type="noConversion"/>
  </si>
  <si>
    <t>11</t>
    <phoneticPr fontId="3" type="noConversion"/>
  </si>
  <si>
    <t>12</t>
    <phoneticPr fontId="3" type="noConversion"/>
  </si>
  <si>
    <t>13</t>
    <phoneticPr fontId="3" type="noConversion"/>
  </si>
  <si>
    <t>14</t>
    <phoneticPr fontId="3" type="noConversion"/>
  </si>
  <si>
    <t>15</t>
    <phoneticPr fontId="3" type="noConversion"/>
  </si>
  <si>
    <t>16</t>
    <phoneticPr fontId="3" type="noConversion"/>
  </si>
  <si>
    <t>17</t>
    <phoneticPr fontId="3" type="noConversion"/>
  </si>
  <si>
    <t>18</t>
    <phoneticPr fontId="3" type="noConversion"/>
  </si>
  <si>
    <t>19</t>
    <phoneticPr fontId="3" type="noConversion"/>
  </si>
  <si>
    <t>20</t>
    <phoneticPr fontId="3" type="noConversion"/>
  </si>
  <si>
    <t>21</t>
    <phoneticPr fontId="3" type="noConversion"/>
  </si>
  <si>
    <t>22</t>
    <phoneticPr fontId="3" type="noConversion"/>
  </si>
  <si>
    <t>23</t>
    <phoneticPr fontId="3" type="noConversion"/>
  </si>
  <si>
    <t>24</t>
    <phoneticPr fontId="3" type="noConversion"/>
  </si>
  <si>
    <t>25</t>
    <phoneticPr fontId="3" type="noConversion"/>
  </si>
  <si>
    <t>26</t>
    <phoneticPr fontId="3" type="noConversion"/>
  </si>
  <si>
    <t>27</t>
    <phoneticPr fontId="3" type="noConversion"/>
  </si>
  <si>
    <t>28</t>
    <phoneticPr fontId="3" type="noConversion"/>
  </si>
  <si>
    <t>29</t>
    <phoneticPr fontId="3" type="noConversion"/>
  </si>
  <si>
    <t>30</t>
    <phoneticPr fontId="3" type="noConversion"/>
  </si>
  <si>
    <t>31</t>
    <phoneticPr fontId="3" type="noConversion"/>
  </si>
  <si>
    <t>32</t>
    <phoneticPr fontId="3" type="noConversion"/>
  </si>
  <si>
    <t>33</t>
    <phoneticPr fontId="3" type="noConversion"/>
  </si>
  <si>
    <t>34</t>
    <phoneticPr fontId="3" type="noConversion"/>
  </si>
  <si>
    <t>35</t>
    <phoneticPr fontId="3" type="noConversion"/>
  </si>
  <si>
    <t>36</t>
    <phoneticPr fontId="3" type="noConversion"/>
  </si>
  <si>
    <t>37</t>
    <phoneticPr fontId="3" type="noConversion"/>
  </si>
  <si>
    <t>38</t>
    <phoneticPr fontId="3" type="noConversion"/>
  </si>
  <si>
    <t>39</t>
    <phoneticPr fontId="3" type="noConversion"/>
  </si>
  <si>
    <t>40</t>
    <phoneticPr fontId="3" type="noConversion"/>
  </si>
  <si>
    <t>41</t>
    <phoneticPr fontId="3" type="noConversion"/>
  </si>
  <si>
    <t>42</t>
    <phoneticPr fontId="3" type="noConversion"/>
  </si>
  <si>
    <t>43</t>
    <phoneticPr fontId="3" type="noConversion"/>
  </si>
  <si>
    <t>44</t>
    <phoneticPr fontId="3" type="noConversion"/>
  </si>
  <si>
    <t>항목</t>
    <phoneticPr fontId="3" type="noConversion"/>
  </si>
  <si>
    <t>구분</t>
    <phoneticPr fontId="3" type="noConversion"/>
  </si>
  <si>
    <t>구분</t>
    <phoneticPr fontId="3" type="noConversion"/>
  </si>
  <si>
    <t>번호</t>
    <phoneticPr fontId="3" type="noConversion"/>
  </si>
  <si>
    <t>번호</t>
    <phoneticPr fontId="3" type="noConversion"/>
  </si>
  <si>
    <t>번호+항목</t>
    <phoneticPr fontId="3" type="noConversion"/>
  </si>
  <si>
    <t>기호</t>
    <phoneticPr fontId="3" type="noConversion"/>
  </si>
  <si>
    <t>기호</t>
    <phoneticPr fontId="3" type="noConversion"/>
  </si>
  <si>
    <t>번호+용도명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</si>
</sst>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0.0"/>
    <numFmt numFmtId="177" formatCode="0.0_);[Red]\(0.0\)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vertAlign val="subscript"/>
      <sz val="10"/>
      <color theme="1"/>
      <name val="맑은 고딕"/>
      <family val="3"/>
      <charset val="129"/>
      <scheme val="minor"/>
    </font>
    <font>
      <vertAlign val="superscript"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4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1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indexed="64"/>
      </right>
      <top/>
      <bottom style="thin">
        <color theme="1" tint="0.499984740745262"/>
      </bottom>
      <diagonal/>
    </border>
    <border>
      <left/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indexed="64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</cellStyleXfs>
  <cellXfs count="82">
    <xf numFmtId="0" fontId="0" fillId="0" borderId="0" xfId="0">
      <alignment vertical="center"/>
    </xf>
    <xf numFmtId="0" fontId="2" fillId="3" borderId="2" xfId="0" applyFont="1" applyFill="1" applyBorder="1">
      <alignment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3" borderId="0" xfId="0" applyFont="1" applyFill="1">
      <alignment vertical="center"/>
    </xf>
    <xf numFmtId="0" fontId="4" fillId="4" borderId="0" xfId="0" quotePrefix="1" applyFont="1" applyFill="1" applyAlignment="1">
      <alignment horizontal="center" vertical="center"/>
    </xf>
    <xf numFmtId="0" fontId="4" fillId="5" borderId="0" xfId="0" quotePrefix="1" applyFont="1" applyFill="1" applyAlignment="1">
      <alignment horizontal="center" vertical="center"/>
    </xf>
    <xf numFmtId="0" fontId="4" fillId="4" borderId="0" xfId="0" quotePrefix="1" applyFont="1" applyFill="1" applyBorder="1" applyAlignment="1">
      <alignment horizontal="center" vertical="center"/>
    </xf>
    <xf numFmtId="0" fontId="4" fillId="4" borderId="6" xfId="0" quotePrefix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textRotation="90"/>
    </xf>
    <xf numFmtId="0" fontId="2" fillId="5" borderId="4" xfId="0" applyFont="1" applyFill="1" applyBorder="1" applyAlignment="1">
      <alignment horizontal="center" textRotation="90"/>
    </xf>
    <xf numFmtId="0" fontId="2" fillId="4" borderId="7" xfId="0" applyFont="1" applyFill="1" applyBorder="1" applyAlignment="1">
      <alignment horizontal="center" textRotation="90"/>
    </xf>
    <xf numFmtId="0" fontId="2" fillId="3" borderId="8" xfId="0" applyFont="1" applyFill="1" applyBorder="1" applyAlignment="1">
      <alignment horizontal="center" vertical="center"/>
    </xf>
    <xf numFmtId="0" fontId="2" fillId="3" borderId="9" xfId="2" applyFont="1" applyFill="1" applyBorder="1" applyAlignment="1">
      <alignment horizontal="center" vertical="center"/>
    </xf>
    <xf numFmtId="0" fontId="2" fillId="3" borderId="0" xfId="2" applyFont="1" applyFill="1" applyBorder="1" applyAlignment="1">
      <alignment horizontal="center" vertical="center"/>
    </xf>
    <xf numFmtId="0" fontId="2" fillId="3" borderId="8" xfId="2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7" borderId="0" xfId="0" quotePrefix="1" applyFont="1" applyFill="1" applyAlignment="1">
      <alignment horizontal="right" vertical="center"/>
    </xf>
    <xf numFmtId="0" fontId="2" fillId="7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7" borderId="8" xfId="0" applyFont="1" applyFill="1" applyBorder="1" applyAlignment="1">
      <alignment horizontal="center" vertical="center"/>
    </xf>
    <xf numFmtId="20" fontId="7" fillId="7" borderId="9" xfId="0" applyNumberFormat="1" applyFont="1" applyFill="1" applyBorder="1" applyAlignment="1">
      <alignment horizontal="center" vertical="center"/>
    </xf>
    <xf numFmtId="49" fontId="7" fillId="7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49" fontId="7" fillId="7" borderId="8" xfId="0" applyNumberFormat="1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176" fontId="7" fillId="7" borderId="8" xfId="0" applyNumberFormat="1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2" fontId="2" fillId="7" borderId="0" xfId="0" applyNumberFormat="1" applyFont="1" applyFill="1" applyAlignment="1">
      <alignment horizontal="center" vertical="center"/>
    </xf>
    <xf numFmtId="177" fontId="7" fillId="7" borderId="9" xfId="1" applyNumberFormat="1" applyFont="1" applyFill="1" applyBorder="1" applyAlignment="1">
      <alignment horizontal="center" vertical="center"/>
    </xf>
    <xf numFmtId="177" fontId="7" fillId="7" borderId="0" xfId="1" applyNumberFormat="1" applyFont="1" applyFill="1" applyBorder="1" applyAlignment="1">
      <alignment horizontal="center" vertical="center"/>
    </xf>
    <xf numFmtId="177" fontId="7" fillId="7" borderId="0" xfId="0" applyNumberFormat="1" applyFont="1" applyFill="1" applyAlignment="1">
      <alignment horizontal="center" vertical="center"/>
    </xf>
    <xf numFmtId="177" fontId="7" fillId="7" borderId="8" xfId="0" applyNumberFormat="1" applyFont="1" applyFill="1" applyBorder="1" applyAlignment="1">
      <alignment horizontal="center" vertical="center"/>
    </xf>
    <xf numFmtId="0" fontId="7" fillId="7" borderId="6" xfId="0" applyNumberFormat="1" applyFont="1" applyFill="1" applyBorder="1" applyAlignment="1">
      <alignment horizontal="center" vertical="center"/>
    </xf>
    <xf numFmtId="20" fontId="7" fillId="7" borderId="0" xfId="0" applyNumberFormat="1" applyFont="1" applyFill="1" applyAlignment="1">
      <alignment horizontal="center" vertical="center"/>
    </xf>
    <xf numFmtId="176" fontId="7" fillId="7" borderId="0" xfId="0" applyNumberFormat="1" applyFont="1" applyFill="1" applyAlignment="1">
      <alignment horizontal="center" vertical="center"/>
    </xf>
    <xf numFmtId="176" fontId="2" fillId="7" borderId="8" xfId="0" applyNumberFormat="1" applyFont="1" applyFill="1" applyBorder="1" applyAlignment="1">
      <alignment horizontal="center" vertical="center"/>
    </xf>
    <xf numFmtId="176" fontId="7" fillId="7" borderId="9" xfId="0" applyNumberFormat="1" applyFont="1" applyFill="1" applyBorder="1" applyAlignment="1">
      <alignment horizontal="center" vertical="center"/>
    </xf>
    <xf numFmtId="0" fontId="7" fillId="7" borderId="0" xfId="0" applyFont="1" applyFill="1" applyAlignment="1">
      <alignment horizontal="left" vertical="center"/>
    </xf>
    <xf numFmtId="2" fontId="7" fillId="7" borderId="0" xfId="0" applyNumberFormat="1" applyFont="1" applyFill="1" applyAlignment="1">
      <alignment horizontal="center" vertical="center"/>
    </xf>
    <xf numFmtId="46" fontId="7" fillId="7" borderId="0" xfId="0" quotePrefix="1" applyNumberFormat="1" applyFont="1" applyFill="1" applyAlignment="1">
      <alignment horizontal="center" vertical="center"/>
    </xf>
    <xf numFmtId="0" fontId="7" fillId="7" borderId="0" xfId="1" applyNumberFormat="1" applyFont="1" applyFill="1" applyBorder="1" applyAlignment="1">
      <alignment horizontal="center" vertical="center"/>
    </xf>
    <xf numFmtId="177" fontId="7" fillId="7" borderId="8" xfId="1" applyNumberFormat="1" applyFont="1" applyFill="1" applyBorder="1" applyAlignment="1">
      <alignment horizontal="center" vertical="center"/>
    </xf>
    <xf numFmtId="176" fontId="7" fillId="7" borderId="8" xfId="1" applyNumberFormat="1" applyFont="1" applyFill="1" applyBorder="1" applyAlignment="1">
      <alignment horizontal="center" vertical="center"/>
    </xf>
    <xf numFmtId="2" fontId="7" fillId="7" borderId="0" xfId="1" applyNumberFormat="1" applyFont="1" applyFill="1" applyBorder="1" applyAlignment="1">
      <alignment horizontal="center" vertical="center"/>
    </xf>
    <xf numFmtId="176" fontId="2" fillId="7" borderId="0" xfId="0" applyNumberFormat="1" applyFont="1" applyFill="1" applyAlignment="1">
      <alignment horizontal="center" vertical="center"/>
    </xf>
    <xf numFmtId="0" fontId="2" fillId="7" borderId="11" xfId="0" quotePrefix="1" applyFont="1" applyFill="1" applyBorder="1" applyAlignment="1">
      <alignment horizontal="right" vertical="center"/>
    </xf>
    <xf numFmtId="0" fontId="2" fillId="7" borderId="11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left" vertical="center"/>
    </xf>
    <xf numFmtId="20" fontId="7" fillId="7" borderId="13" xfId="0" applyNumberFormat="1" applyFont="1" applyFill="1" applyBorder="1" applyAlignment="1">
      <alignment horizontal="center" vertical="center"/>
    </xf>
    <xf numFmtId="20" fontId="7" fillId="7" borderId="11" xfId="0" applyNumberFormat="1" applyFont="1" applyFill="1" applyBorder="1" applyAlignment="1">
      <alignment horizontal="center" vertical="center"/>
    </xf>
    <xf numFmtId="49" fontId="7" fillId="7" borderId="11" xfId="0" applyNumberFormat="1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49" fontId="7" fillId="7" borderId="12" xfId="0" applyNumberFormat="1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176" fontId="7" fillId="7" borderId="11" xfId="0" applyNumberFormat="1" applyFont="1" applyFill="1" applyBorder="1" applyAlignment="1">
      <alignment horizontal="center" vertical="center"/>
    </xf>
    <xf numFmtId="2" fontId="2" fillId="7" borderId="11" xfId="0" applyNumberFormat="1" applyFont="1" applyFill="1" applyBorder="1" applyAlignment="1">
      <alignment horizontal="center" vertical="center"/>
    </xf>
    <xf numFmtId="176" fontId="7" fillId="7" borderId="12" xfId="0" applyNumberFormat="1" applyFont="1" applyFill="1" applyBorder="1" applyAlignment="1">
      <alignment horizontal="center" vertical="center"/>
    </xf>
    <xf numFmtId="0" fontId="7" fillId="7" borderId="11" xfId="1" applyNumberFormat="1" applyFont="1" applyFill="1" applyBorder="1" applyAlignment="1">
      <alignment horizontal="center" vertical="center"/>
    </xf>
    <xf numFmtId="2" fontId="7" fillId="7" borderId="11" xfId="0" applyNumberFormat="1" applyFont="1" applyFill="1" applyBorder="1" applyAlignment="1">
      <alignment horizontal="center" vertical="center"/>
    </xf>
    <xf numFmtId="177" fontId="7" fillId="7" borderId="11" xfId="1" applyNumberFormat="1" applyFont="1" applyFill="1" applyBorder="1" applyAlignment="1">
      <alignment horizontal="center" vertical="center"/>
    </xf>
    <xf numFmtId="177" fontId="7" fillId="7" borderId="12" xfId="1" applyNumberFormat="1" applyFont="1" applyFill="1" applyBorder="1" applyAlignment="1">
      <alignment horizontal="center" vertical="center"/>
    </xf>
    <xf numFmtId="177" fontId="7" fillId="7" borderId="13" xfId="1" applyNumberFormat="1" applyFont="1" applyFill="1" applyBorder="1" applyAlignment="1">
      <alignment horizontal="center" vertical="center"/>
    </xf>
    <xf numFmtId="176" fontId="7" fillId="7" borderId="13" xfId="0" applyNumberFormat="1" applyFont="1" applyFill="1" applyBorder="1" applyAlignment="1">
      <alignment horizontal="center" vertical="center"/>
    </xf>
    <xf numFmtId="0" fontId="7" fillId="7" borderId="14" xfId="0" applyNumberFormat="1" applyFont="1" applyFill="1" applyBorder="1" applyAlignment="1">
      <alignment horizontal="center" vertical="center"/>
    </xf>
    <xf numFmtId="0" fontId="13" fillId="6" borderId="0" xfId="0" applyFont="1" applyFill="1">
      <alignment vertical="center"/>
    </xf>
  </cellXfs>
  <cellStyles count="3">
    <cellStyle name="메모" xfId="2" builtinId="10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50"/>
  <sheetViews>
    <sheetView tabSelected="1" workbookViewId="0">
      <selection activeCell="M4" sqref="M4"/>
    </sheetView>
  </sheetViews>
  <sheetFormatPr defaultRowHeight="16.5" x14ac:dyDescent="0.3"/>
  <sheetData>
    <row r="1" spans="1:43" x14ac:dyDescent="0.3">
      <c r="A1" s="9" t="s">
        <v>225</v>
      </c>
      <c r="B1" s="9" t="s">
        <v>173</v>
      </c>
      <c r="C1" s="9" t="s">
        <v>175</v>
      </c>
      <c r="D1" s="10" t="s">
        <v>45</v>
      </c>
      <c r="E1" s="10" t="s">
        <v>46</v>
      </c>
      <c r="F1" s="10" t="s">
        <v>47</v>
      </c>
      <c r="G1" s="10" t="s">
        <v>48</v>
      </c>
      <c r="H1" s="10" t="s">
        <v>49</v>
      </c>
      <c r="I1" s="10" t="s">
        <v>50</v>
      </c>
      <c r="J1" s="10" t="s">
        <v>51</v>
      </c>
      <c r="K1" s="10" t="s">
        <v>52</v>
      </c>
      <c r="L1" s="11" t="s">
        <v>53</v>
      </c>
      <c r="M1" s="11" t="s">
        <v>54</v>
      </c>
      <c r="N1" s="11" t="s">
        <v>55</v>
      </c>
      <c r="O1" s="11" t="s">
        <v>56</v>
      </c>
      <c r="P1" s="11" t="s">
        <v>57</v>
      </c>
      <c r="Q1" s="14" t="s">
        <v>58</v>
      </c>
      <c r="R1" s="14" t="s">
        <v>59</v>
      </c>
      <c r="S1" s="14" t="s">
        <v>60</v>
      </c>
      <c r="T1" s="14" t="s">
        <v>61</v>
      </c>
      <c r="U1" s="14" t="s">
        <v>62</v>
      </c>
      <c r="V1" s="14" t="s">
        <v>63</v>
      </c>
      <c r="W1" s="14" t="s">
        <v>64</v>
      </c>
      <c r="X1" s="14" t="s">
        <v>65</v>
      </c>
      <c r="Y1" s="14" t="s">
        <v>66</v>
      </c>
      <c r="Z1" s="14" t="s">
        <v>67</v>
      </c>
      <c r="AA1" s="14" t="s">
        <v>68</v>
      </c>
      <c r="AB1" s="14" t="s">
        <v>69</v>
      </c>
      <c r="AC1" s="14" t="s">
        <v>70</v>
      </c>
      <c r="AD1" s="14" t="s">
        <v>71</v>
      </c>
      <c r="AE1" s="15" t="s">
        <v>72</v>
      </c>
      <c r="AF1" s="15" t="s">
        <v>73</v>
      </c>
      <c r="AG1" s="15" t="s">
        <v>174</v>
      </c>
      <c r="AH1" s="15" t="s">
        <v>74</v>
      </c>
      <c r="AI1" s="15" t="s">
        <v>75</v>
      </c>
      <c r="AJ1" s="15" t="s">
        <v>76</v>
      </c>
      <c r="AK1" s="15" t="s">
        <v>77</v>
      </c>
      <c r="AL1" s="15" t="s">
        <v>78</v>
      </c>
      <c r="AM1" s="15" t="s">
        <v>79</v>
      </c>
      <c r="AN1" s="15" t="s">
        <v>80</v>
      </c>
      <c r="AO1" s="15" t="s">
        <v>81</v>
      </c>
      <c r="AP1" s="16" t="s">
        <v>82</v>
      </c>
      <c r="AQ1" s="17" t="s">
        <v>83</v>
      </c>
    </row>
    <row r="2" spans="1:43" x14ac:dyDescent="0.3">
      <c r="A2" s="1" t="s">
        <v>226</v>
      </c>
      <c r="B2" s="1" t="s">
        <v>227</v>
      </c>
      <c r="C2" s="1" t="s">
        <v>176</v>
      </c>
      <c r="D2" s="2" t="s">
        <v>0</v>
      </c>
      <c r="E2" s="3"/>
      <c r="F2" s="3"/>
      <c r="G2" s="3"/>
      <c r="H2" s="3"/>
      <c r="I2" s="3"/>
      <c r="J2" s="3"/>
      <c r="K2" s="4"/>
      <c r="L2" s="5" t="s">
        <v>1</v>
      </c>
      <c r="M2" s="6"/>
      <c r="N2" s="6"/>
      <c r="O2" s="6"/>
      <c r="P2" s="7"/>
      <c r="Q2" s="2" t="s">
        <v>2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4"/>
      <c r="AE2" s="5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7"/>
      <c r="AP2" s="2" t="s">
        <v>4</v>
      </c>
      <c r="AQ2" s="8"/>
    </row>
    <row r="3" spans="1:43" x14ac:dyDescent="0.3">
      <c r="A3" s="9" t="s">
        <v>228</v>
      </c>
      <c r="B3" s="9" t="s">
        <v>229</v>
      </c>
      <c r="C3" s="9" t="s">
        <v>177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1" t="s">
        <v>13</v>
      </c>
      <c r="M3" s="11" t="s">
        <v>14</v>
      </c>
      <c r="N3" s="11" t="s">
        <v>15</v>
      </c>
      <c r="O3" s="11" t="s">
        <v>16</v>
      </c>
      <c r="P3" s="11" t="s">
        <v>17</v>
      </c>
      <c r="Q3" s="10" t="s">
        <v>18</v>
      </c>
      <c r="R3" s="10" t="s">
        <v>19</v>
      </c>
      <c r="S3" s="10" t="s">
        <v>20</v>
      </c>
      <c r="T3" s="10" t="s">
        <v>21</v>
      </c>
      <c r="U3" s="10" t="s">
        <v>22</v>
      </c>
      <c r="V3" s="10" t="s">
        <v>23</v>
      </c>
      <c r="W3" s="10" t="s">
        <v>24</v>
      </c>
      <c r="X3" s="10" t="s">
        <v>25</v>
      </c>
      <c r="Y3" s="10" t="s">
        <v>26</v>
      </c>
      <c r="Z3" s="10" t="s">
        <v>27</v>
      </c>
      <c r="AA3" s="10" t="s">
        <v>28</v>
      </c>
      <c r="AB3" s="10" t="s">
        <v>29</v>
      </c>
      <c r="AC3" s="10" t="s">
        <v>30</v>
      </c>
      <c r="AD3" s="10" t="s">
        <v>31</v>
      </c>
      <c r="AE3" s="11" t="s">
        <v>32</v>
      </c>
      <c r="AF3" s="11" t="s">
        <v>33</v>
      </c>
      <c r="AG3" s="11" t="s">
        <v>34</v>
      </c>
      <c r="AH3" s="11" t="s">
        <v>35</v>
      </c>
      <c r="AI3" s="11" t="s">
        <v>36</v>
      </c>
      <c r="AJ3" s="11" t="s">
        <v>37</v>
      </c>
      <c r="AK3" s="11" t="s">
        <v>38</v>
      </c>
      <c r="AL3" s="11" t="s">
        <v>39</v>
      </c>
      <c r="AM3" s="11" t="s">
        <v>40</v>
      </c>
      <c r="AN3" s="11" t="s">
        <v>41</v>
      </c>
      <c r="AO3" s="11" t="s">
        <v>42</v>
      </c>
      <c r="AP3" s="12" t="s">
        <v>43</v>
      </c>
      <c r="AQ3" s="13" t="s">
        <v>44</v>
      </c>
    </row>
    <row r="4" spans="1:43" ht="131.25" x14ac:dyDescent="0.3">
      <c r="A4" s="1" t="s">
        <v>230</v>
      </c>
      <c r="B4" s="1" t="s">
        <v>178</v>
      </c>
      <c r="C4" s="1" t="s">
        <v>178</v>
      </c>
      <c r="D4" s="18" t="str">
        <f>D3&amp;". "&amp;D1</f>
        <v>01. 이용시작시간</v>
      </c>
      <c r="E4" s="18" t="str">
        <f>E3&amp;". "&amp;E1</f>
        <v>02. 이용종료시간</v>
      </c>
      <c r="F4" s="18" t="str">
        <f>F3&amp;". "&amp;F1</f>
        <v>03. 일일이용시간</v>
      </c>
      <c r="G4" s="18" t="str">
        <f>G3&amp;". "&amp;G1</f>
        <v>04. 연간이용일수</v>
      </c>
      <c r="H4" s="18" t="str">
        <f>H3&amp;". "&amp;H1</f>
        <v>05. 방학여부</v>
      </c>
      <c r="I4" s="18" t="str">
        <f>I3&amp;". "&amp;I1</f>
        <v>06. 공조/냉방 일일가동시간</v>
      </c>
      <c r="J4" s="18" t="str">
        <f>J3&amp;". "&amp;J1</f>
        <v>07. 냉난방설비가동일수</v>
      </c>
      <c r="K4" s="18" t="str">
        <f>K3&amp;". "&amp;K1</f>
        <v>08. 난방일일가동시간</v>
      </c>
      <c r="L4" s="19" t="str">
        <f>L3&amp;". "&amp;L1</f>
        <v>09. 조도</v>
      </c>
      <c r="M4" s="19" t="str">
        <f>M3&amp;". "&amp;M1</f>
        <v>10. 작업면높이</v>
      </c>
      <c r="N4" s="19" t="str">
        <f>N3&amp;". "&amp;N1</f>
        <v>11. 이용영역계수</v>
      </c>
      <c r="O4" s="19" t="str">
        <f>O3&amp;". "&amp;O1</f>
        <v>12. 조명이용시 부재율</v>
      </c>
      <c r="P4" s="19" t="str">
        <f>P3&amp;". "&amp;P1</f>
        <v>13. 수직면기준조명계수</v>
      </c>
      <c r="Q4" s="18" t="str">
        <f>Q3&amp;". "&amp;Q1</f>
        <v>14. 난방설정온도</v>
      </c>
      <c r="R4" s="18" t="str">
        <f>R3&amp;". "&amp;R1</f>
        <v>15. 냉방설정온도</v>
      </c>
      <c r="S4" s="18" t="str">
        <f>S3&amp;". "&amp;S1</f>
        <v>16. 허용셋백온도</v>
      </c>
      <c r="T4" s="18" t="str">
        <f>T3&amp;". "&amp;T1</f>
        <v>17. 난방최저온도</v>
      </c>
      <c r="U4" s="18" t="str">
        <f>U3&amp;". "&amp;U1</f>
        <v>18. 냉방최고온도</v>
      </c>
      <c r="V4" s="18" t="str">
        <f>V3&amp;". "&amp;V1</f>
        <v>19. 최저상대습도</v>
      </c>
      <c r="W4" s="18" t="str">
        <f>W3&amp;". "&amp;W1</f>
        <v>20. 최고상대습도</v>
      </c>
      <c r="X4" s="18" t="str">
        <f>X3&amp;". "&amp;X1</f>
        <v>21. 겨울습기발생량</v>
      </c>
      <c r="Y4" s="18" t="str">
        <f>Y3&amp;". "&amp;Y1</f>
        <v>22. 여름 습기발생량</v>
      </c>
      <c r="Z4" s="18" t="str">
        <f>Z3&amp;". "&amp;Z1</f>
        <v>23. 필요외기도입량</v>
      </c>
      <c r="AA4" s="18" t="str">
        <f>AA3&amp;". "&amp;AA1</f>
        <v>24. 비이용일 최소외기도입량</v>
      </c>
      <c r="AB4" s="18" t="str">
        <f>AB3&amp;". "&amp;AB1</f>
        <v>25. 이용일 최소외기도입량</v>
      </c>
      <c r="AC4" s="18" t="str">
        <f>AC3&amp;". "&amp;AC1</f>
        <v>26. 공조운전시 부재율</v>
      </c>
      <c r="AD4" s="18" t="str">
        <f>AD3&amp;". "&amp;AD1</f>
        <v>27. 공조/냉방 부분운전계수</v>
      </c>
      <c r="AE4" s="19" t="str">
        <f>AE3&amp;". "&amp;AE1</f>
        <v>28. 사람일일이용시간</v>
      </c>
      <c r="AF4" s="19" t="str">
        <f>AF3&amp;". "&amp;AF1</f>
        <v>29. 기기일일이용시간</v>
      </c>
      <c r="AG4" s="19" t="str">
        <f>AG3&amp;". "&amp;AG1</f>
        <v>30. 재실밀도_낮음</v>
      </c>
      <c r="AH4" s="19" t="str">
        <f>AH3&amp;". "&amp;AH1</f>
        <v>31. 재실밀도_보통</v>
      </c>
      <c r="AI4" s="19" t="str">
        <f>AI3&amp;". "&amp;AI1</f>
        <v>32. 재실밀도_높음</v>
      </c>
      <c r="AJ4" s="19" t="str">
        <f>AJ3&amp;". "&amp;AJ1</f>
        <v>33. 인체발열_낮음</v>
      </c>
      <c r="AK4" s="19" t="str">
        <f>AK3&amp;". "&amp;AK1</f>
        <v>34. 인체발열_보통</v>
      </c>
      <c r="AL4" s="19" t="str">
        <f>AL3&amp;". "&amp;AL1</f>
        <v>35. 인체발열_높음</v>
      </c>
      <c r="AM4" s="19" t="str">
        <f>AM3&amp;". "&amp;AM1</f>
        <v>36. 기기발열_낮음</v>
      </c>
      <c r="AN4" s="19" t="str">
        <f>AN3&amp;". "&amp;AN1</f>
        <v>37. 기기발열_보통</v>
      </c>
      <c r="AO4" s="19" t="str">
        <f>AO3&amp;". "&amp;AO1</f>
        <v>38. 기기발열_높음</v>
      </c>
      <c r="AP4" s="18" t="str">
        <f>AP3&amp;". "&amp;AP1</f>
        <v>39. 급탕요구량</v>
      </c>
      <c r="AQ4" s="20" t="str">
        <f>AQ3&amp;". "&amp;AQ1</f>
        <v>40. 종업원수</v>
      </c>
    </row>
    <row r="5" spans="1:43" x14ac:dyDescent="0.3">
      <c r="A5" s="9" t="s">
        <v>231</v>
      </c>
      <c r="B5" s="9" t="s">
        <v>232</v>
      </c>
      <c r="C5" s="9" t="s">
        <v>179</v>
      </c>
      <c r="D5" s="22" t="s">
        <v>84</v>
      </c>
      <c r="E5" s="23" t="s">
        <v>85</v>
      </c>
      <c r="F5" s="23" t="s">
        <v>86</v>
      </c>
      <c r="G5" s="23" t="s">
        <v>87</v>
      </c>
      <c r="H5" s="23"/>
      <c r="I5" s="23" t="s">
        <v>88</v>
      </c>
      <c r="J5" s="23" t="s">
        <v>89</v>
      </c>
      <c r="K5" s="24" t="s">
        <v>90</v>
      </c>
      <c r="L5" s="25" t="s">
        <v>91</v>
      </c>
      <c r="M5" s="26" t="s">
        <v>92</v>
      </c>
      <c r="N5" s="26" t="s">
        <v>93</v>
      </c>
      <c r="O5" s="27" t="s">
        <v>94</v>
      </c>
      <c r="P5" s="21" t="s">
        <v>95</v>
      </c>
      <c r="Q5" s="22" t="s">
        <v>96</v>
      </c>
      <c r="R5" s="23" t="s">
        <v>97</v>
      </c>
      <c r="S5" s="23" t="s">
        <v>98</v>
      </c>
      <c r="T5" s="23" t="s">
        <v>99</v>
      </c>
      <c r="U5" s="23" t="s">
        <v>100</v>
      </c>
      <c r="V5" s="23"/>
      <c r="W5" s="23"/>
      <c r="X5" s="23"/>
      <c r="Y5" s="23"/>
      <c r="Z5" s="23" t="s">
        <v>101</v>
      </c>
      <c r="AA5" s="23" t="s">
        <v>102</v>
      </c>
      <c r="AB5" s="23" t="s">
        <v>103</v>
      </c>
      <c r="AC5" s="23" t="s">
        <v>104</v>
      </c>
      <c r="AD5" s="24" t="s">
        <v>105</v>
      </c>
      <c r="AE5" s="25"/>
      <c r="AF5" s="28"/>
      <c r="AG5" s="26"/>
      <c r="AH5" s="26"/>
      <c r="AI5" s="26"/>
      <c r="AJ5" s="26"/>
      <c r="AK5" s="26"/>
      <c r="AL5" s="28"/>
      <c r="AM5" s="26"/>
      <c r="AN5" s="26"/>
      <c r="AO5" s="21"/>
      <c r="AP5" s="25" t="s">
        <v>106</v>
      </c>
      <c r="AQ5" s="29"/>
    </row>
    <row r="6" spans="1:43" x14ac:dyDescent="0.3">
      <c r="A6" s="81" t="s">
        <v>180</v>
      </c>
      <c r="B6" s="81" t="s">
        <v>173</v>
      </c>
      <c r="C6" s="81" t="s">
        <v>233</v>
      </c>
      <c r="D6" s="22" t="s">
        <v>107</v>
      </c>
      <c r="E6" s="23" t="s">
        <v>107</v>
      </c>
      <c r="F6" s="23" t="s">
        <v>108</v>
      </c>
      <c r="G6" s="23" t="s">
        <v>109</v>
      </c>
      <c r="H6" s="23"/>
      <c r="I6" s="23" t="s">
        <v>108</v>
      </c>
      <c r="J6" s="23" t="s">
        <v>109</v>
      </c>
      <c r="K6" s="24" t="s">
        <v>108</v>
      </c>
      <c r="L6" s="25" t="s">
        <v>110</v>
      </c>
      <c r="M6" s="26" t="s">
        <v>111</v>
      </c>
      <c r="N6" s="26" t="s">
        <v>84</v>
      </c>
      <c r="O6" s="26" t="s">
        <v>112</v>
      </c>
      <c r="P6" s="21" t="s">
        <v>112</v>
      </c>
      <c r="Q6" s="22" t="s">
        <v>113</v>
      </c>
      <c r="R6" s="23" t="s">
        <v>113</v>
      </c>
      <c r="S6" s="23" t="s">
        <v>114</v>
      </c>
      <c r="T6" s="23" t="s">
        <v>113</v>
      </c>
      <c r="U6" s="23" t="s">
        <v>113</v>
      </c>
      <c r="V6" s="23" t="s">
        <v>115</v>
      </c>
      <c r="W6" s="23" t="s">
        <v>116</v>
      </c>
      <c r="X6" s="23" t="s">
        <v>117</v>
      </c>
      <c r="Y6" s="23" t="s">
        <v>117</v>
      </c>
      <c r="Z6" s="23" t="s">
        <v>118</v>
      </c>
      <c r="AA6" s="23" t="s">
        <v>119</v>
      </c>
      <c r="AB6" s="23" t="s">
        <v>119</v>
      </c>
      <c r="AC6" s="23"/>
      <c r="AD6" s="24"/>
      <c r="AE6" s="25" t="s">
        <v>120</v>
      </c>
      <c r="AF6" s="28" t="s">
        <v>120</v>
      </c>
      <c r="AG6" s="26" t="s">
        <v>121</v>
      </c>
      <c r="AH6" s="26" t="s">
        <v>121</v>
      </c>
      <c r="AI6" s="26" t="s">
        <v>121</v>
      </c>
      <c r="AJ6" s="26" t="s">
        <v>122</v>
      </c>
      <c r="AK6" s="26" t="s">
        <v>123</v>
      </c>
      <c r="AL6" s="26" t="s">
        <v>123</v>
      </c>
      <c r="AM6" s="26" t="s">
        <v>123</v>
      </c>
      <c r="AN6" s="26" t="s">
        <v>123</v>
      </c>
      <c r="AO6" s="26" t="s">
        <v>123</v>
      </c>
      <c r="AP6" s="25" t="s">
        <v>124</v>
      </c>
      <c r="AQ6" s="29"/>
    </row>
    <row r="7" spans="1:43" x14ac:dyDescent="0.3">
      <c r="A7" s="30" t="s">
        <v>181</v>
      </c>
      <c r="B7" s="31" t="s">
        <v>125</v>
      </c>
      <c r="C7" s="32" t="str">
        <f>A7&amp;". "&amp;B7</f>
        <v>01. 단독주택</v>
      </c>
      <c r="D7" s="34">
        <v>0</v>
      </c>
      <c r="E7" s="35" t="s">
        <v>126</v>
      </c>
      <c r="F7" s="35">
        <f>(E7-D7)*24</f>
        <v>24</v>
      </c>
      <c r="G7" s="36">
        <v>365</v>
      </c>
      <c r="H7" s="37"/>
      <c r="I7" s="35">
        <f>MIN(24, F7+1)</f>
        <v>24</v>
      </c>
      <c r="J7" s="38">
        <f>G7</f>
        <v>365</v>
      </c>
      <c r="K7" s="39">
        <f>MIN(17, F7+1)</f>
        <v>17</v>
      </c>
      <c r="L7" s="40">
        <v>300</v>
      </c>
      <c r="M7" s="36">
        <v>0.8</v>
      </c>
      <c r="N7" s="36">
        <v>1</v>
      </c>
      <c r="O7" s="36">
        <v>0.53</v>
      </c>
      <c r="P7" s="41">
        <v>1</v>
      </c>
      <c r="Q7" s="42">
        <v>20</v>
      </c>
      <c r="R7" s="38">
        <v>26</v>
      </c>
      <c r="S7" s="38">
        <v>0</v>
      </c>
      <c r="T7" s="38">
        <f>MAX(19, Q7-1)</f>
        <v>19</v>
      </c>
      <c r="U7" s="38">
        <f>R7+2</f>
        <v>28</v>
      </c>
      <c r="V7" s="36">
        <v>25</v>
      </c>
      <c r="W7" s="36">
        <v>60</v>
      </c>
      <c r="X7" s="36">
        <v>35</v>
      </c>
      <c r="Y7" s="36">
        <v>65</v>
      </c>
      <c r="Z7" s="36">
        <v>1.3</v>
      </c>
      <c r="AA7" s="43">
        <v>1.3</v>
      </c>
      <c r="AB7" s="43">
        <f t="shared" ref="AB7:AB8" si="0">Z7*(1-AC7)+AA7*AC7</f>
        <v>1.3</v>
      </c>
      <c r="AC7" s="36">
        <v>0</v>
      </c>
      <c r="AD7" s="33">
        <v>0.5</v>
      </c>
      <c r="AE7" s="44">
        <v>14.4</v>
      </c>
      <c r="AF7" s="45">
        <v>14.4</v>
      </c>
      <c r="AG7" s="45">
        <v>49.5</v>
      </c>
      <c r="AH7" s="45">
        <v>42.5</v>
      </c>
      <c r="AI7" s="45">
        <v>24.8</v>
      </c>
      <c r="AJ7" s="46">
        <f t="shared" ref="AJ7:AL17" si="1">80/AG7</f>
        <v>1.6161616161616161</v>
      </c>
      <c r="AK7" s="46">
        <f t="shared" si="1"/>
        <v>1.8823529411764706</v>
      </c>
      <c r="AL7" s="46">
        <f t="shared" si="1"/>
        <v>3.225806451612903</v>
      </c>
      <c r="AM7" s="46">
        <v>2.1</v>
      </c>
      <c r="AN7" s="46">
        <v>2.4</v>
      </c>
      <c r="AO7" s="47">
        <v>4.0999999999999996</v>
      </c>
      <c r="AP7" s="42">
        <v>2.2999999999999998</v>
      </c>
      <c r="AQ7" s="48"/>
    </row>
    <row r="8" spans="1:43" x14ac:dyDescent="0.3">
      <c r="A8" s="30" t="s">
        <v>182</v>
      </c>
      <c r="B8" s="31" t="s">
        <v>127</v>
      </c>
      <c r="C8" s="32" t="str">
        <f>A8&amp;". "&amp;B8</f>
        <v>02. 공동주택</v>
      </c>
      <c r="D8" s="34">
        <v>0</v>
      </c>
      <c r="E8" s="35" t="s">
        <v>126</v>
      </c>
      <c r="F8" s="35">
        <f t="shared" ref="F8:F50" si="2">(E8-D8)*24</f>
        <v>24</v>
      </c>
      <c r="G8" s="36">
        <v>365</v>
      </c>
      <c r="H8" s="37"/>
      <c r="I8" s="35">
        <f t="shared" ref="I8:I50" si="3">MIN(24, F8+1)</f>
        <v>24</v>
      </c>
      <c r="J8" s="38">
        <f t="shared" ref="J8:J50" si="4">G8</f>
        <v>365</v>
      </c>
      <c r="K8" s="39">
        <f t="shared" ref="K8:K50" si="5">MIN(17, F8+1)</f>
        <v>17</v>
      </c>
      <c r="L8" s="40">
        <v>300</v>
      </c>
      <c r="M8" s="36">
        <v>0.8</v>
      </c>
      <c r="N8" s="36">
        <v>1</v>
      </c>
      <c r="O8" s="36">
        <v>0.53</v>
      </c>
      <c r="P8" s="41">
        <v>1</v>
      </c>
      <c r="Q8" s="42">
        <v>20</v>
      </c>
      <c r="R8" s="38">
        <v>26</v>
      </c>
      <c r="S8" s="38">
        <v>0</v>
      </c>
      <c r="T8" s="38">
        <f t="shared" ref="T8:T50" si="6">MAX(19, Q8-1)</f>
        <v>19</v>
      </c>
      <c r="U8" s="38">
        <f t="shared" ref="U8:U50" si="7">R8+2</f>
        <v>28</v>
      </c>
      <c r="V8" s="36">
        <v>25</v>
      </c>
      <c r="W8" s="36">
        <v>60</v>
      </c>
      <c r="X8" s="36">
        <v>35</v>
      </c>
      <c r="Y8" s="36">
        <v>65</v>
      </c>
      <c r="Z8" s="36">
        <v>1.3</v>
      </c>
      <c r="AA8" s="43">
        <v>1.3</v>
      </c>
      <c r="AB8" s="43">
        <f t="shared" si="0"/>
        <v>1.3</v>
      </c>
      <c r="AC8" s="36">
        <v>0</v>
      </c>
      <c r="AD8" s="33">
        <v>0.5</v>
      </c>
      <c r="AE8" s="44">
        <v>14.4</v>
      </c>
      <c r="AF8" s="45">
        <v>14.4</v>
      </c>
      <c r="AG8" s="45">
        <v>33</v>
      </c>
      <c r="AH8" s="45">
        <v>28.3</v>
      </c>
      <c r="AI8" s="45">
        <v>17.3</v>
      </c>
      <c r="AJ8" s="46">
        <f t="shared" si="1"/>
        <v>2.4242424242424243</v>
      </c>
      <c r="AK8" s="46">
        <f t="shared" si="1"/>
        <v>2.8268551236749118</v>
      </c>
      <c r="AL8" s="46">
        <f t="shared" si="1"/>
        <v>4.6242774566473983</v>
      </c>
      <c r="AM8" s="46">
        <v>2.6</v>
      </c>
      <c r="AN8" s="46">
        <v>3</v>
      </c>
      <c r="AO8" s="47">
        <v>4.9000000000000004</v>
      </c>
      <c r="AP8" s="42">
        <v>2</v>
      </c>
      <c r="AQ8" s="48"/>
    </row>
    <row r="9" spans="1:43" x14ac:dyDescent="0.3">
      <c r="A9" s="30" t="s">
        <v>183</v>
      </c>
      <c r="B9" s="31" t="s">
        <v>128</v>
      </c>
      <c r="C9" s="32" t="str">
        <f>A9&amp;". "&amp;B9</f>
        <v>03. 단독 사무실</v>
      </c>
      <c r="D9" s="34">
        <v>0.375</v>
      </c>
      <c r="E9" s="49">
        <v>0.75</v>
      </c>
      <c r="F9" s="35">
        <f t="shared" si="2"/>
        <v>9</v>
      </c>
      <c r="G9" s="36">
        <v>249</v>
      </c>
      <c r="H9" s="38"/>
      <c r="I9" s="35">
        <f t="shared" si="3"/>
        <v>10</v>
      </c>
      <c r="J9" s="38">
        <f t="shared" si="4"/>
        <v>249</v>
      </c>
      <c r="K9" s="39">
        <f t="shared" si="5"/>
        <v>10</v>
      </c>
      <c r="L9" s="42">
        <v>500</v>
      </c>
      <c r="M9" s="50">
        <v>0.8</v>
      </c>
      <c r="N9" s="43">
        <v>0.84</v>
      </c>
      <c r="O9" s="43">
        <v>0.4</v>
      </c>
      <c r="P9" s="41">
        <v>1</v>
      </c>
      <c r="Q9" s="42">
        <v>21</v>
      </c>
      <c r="R9" s="38">
        <v>26</v>
      </c>
      <c r="S9" s="38">
        <v>4</v>
      </c>
      <c r="T9" s="38">
        <f t="shared" si="6"/>
        <v>20</v>
      </c>
      <c r="U9" s="38">
        <f t="shared" si="7"/>
        <v>28</v>
      </c>
      <c r="V9" s="36">
        <v>25</v>
      </c>
      <c r="W9" s="36">
        <v>60</v>
      </c>
      <c r="X9" s="36">
        <v>35</v>
      </c>
      <c r="Y9" s="36">
        <v>65</v>
      </c>
      <c r="Z9" s="43">
        <v>4</v>
      </c>
      <c r="AA9" s="43">
        <v>1.5</v>
      </c>
      <c r="AB9" s="43">
        <f>Z9*(1-AC9)+AA9*AC9</f>
        <v>3.25</v>
      </c>
      <c r="AC9" s="43">
        <v>0.3</v>
      </c>
      <c r="AD9" s="51">
        <v>0.7</v>
      </c>
      <c r="AE9" s="44">
        <v>6</v>
      </c>
      <c r="AF9" s="45">
        <v>6</v>
      </c>
      <c r="AG9" s="45">
        <v>22</v>
      </c>
      <c r="AH9" s="45">
        <v>17</v>
      </c>
      <c r="AI9" s="45">
        <v>12</v>
      </c>
      <c r="AJ9" s="46">
        <f t="shared" si="1"/>
        <v>3.6363636363636362</v>
      </c>
      <c r="AK9" s="46">
        <f t="shared" si="1"/>
        <v>4.7058823529411766</v>
      </c>
      <c r="AL9" s="46">
        <f t="shared" si="1"/>
        <v>6.666666666666667</v>
      </c>
      <c r="AM9" s="46">
        <v>6.5</v>
      </c>
      <c r="AN9" s="46">
        <v>8.5</v>
      </c>
      <c r="AO9" s="47">
        <v>12</v>
      </c>
      <c r="AP9" s="52">
        <v>0.41</v>
      </c>
      <c r="AQ9" s="48"/>
    </row>
    <row r="10" spans="1:43" x14ac:dyDescent="0.3">
      <c r="A10" s="30" t="s">
        <v>184</v>
      </c>
      <c r="B10" s="31" t="s">
        <v>129</v>
      </c>
      <c r="C10" s="32" t="str">
        <f>A10&amp;". "&amp;B10</f>
        <v>04. 소규모 사무실</v>
      </c>
      <c r="D10" s="34">
        <v>0.33333333333333331</v>
      </c>
      <c r="E10" s="49">
        <v>0.75</v>
      </c>
      <c r="F10" s="35">
        <f t="shared" si="2"/>
        <v>10</v>
      </c>
      <c r="G10" s="36">
        <v>249</v>
      </c>
      <c r="H10" s="38"/>
      <c r="I10" s="35">
        <f t="shared" si="3"/>
        <v>11</v>
      </c>
      <c r="J10" s="38">
        <f t="shared" si="4"/>
        <v>249</v>
      </c>
      <c r="K10" s="39">
        <f t="shared" si="5"/>
        <v>11</v>
      </c>
      <c r="L10" s="42">
        <v>500</v>
      </c>
      <c r="M10" s="50">
        <v>0.8</v>
      </c>
      <c r="N10" s="43">
        <v>0.92</v>
      </c>
      <c r="O10" s="43">
        <v>0.3</v>
      </c>
      <c r="P10" s="41">
        <v>1</v>
      </c>
      <c r="Q10" s="42">
        <v>21</v>
      </c>
      <c r="R10" s="38">
        <v>26</v>
      </c>
      <c r="S10" s="38">
        <v>4</v>
      </c>
      <c r="T10" s="38">
        <f t="shared" si="6"/>
        <v>20</v>
      </c>
      <c r="U10" s="38">
        <f t="shared" si="7"/>
        <v>28</v>
      </c>
      <c r="V10" s="36">
        <v>25</v>
      </c>
      <c r="W10" s="36">
        <v>60</v>
      </c>
      <c r="X10" s="36">
        <v>35</v>
      </c>
      <c r="Y10" s="36">
        <v>65</v>
      </c>
      <c r="Z10" s="43">
        <v>4</v>
      </c>
      <c r="AA10" s="43">
        <v>1.5</v>
      </c>
      <c r="AB10" s="43">
        <f t="shared" ref="AB10:AB50" si="8">Z10*(1-AC10)+AA10*AC10</f>
        <v>3.25</v>
      </c>
      <c r="AC10" s="43">
        <v>0.3</v>
      </c>
      <c r="AD10" s="51">
        <v>0.7</v>
      </c>
      <c r="AE10" s="44">
        <v>6</v>
      </c>
      <c r="AF10" s="45">
        <v>6</v>
      </c>
      <c r="AG10" s="45">
        <v>12</v>
      </c>
      <c r="AH10" s="45">
        <v>10</v>
      </c>
      <c r="AI10" s="45">
        <v>8.3000000000000007</v>
      </c>
      <c r="AJ10" s="46">
        <f t="shared" si="1"/>
        <v>6.666666666666667</v>
      </c>
      <c r="AK10" s="46">
        <f t="shared" si="1"/>
        <v>8</v>
      </c>
      <c r="AL10" s="46">
        <f t="shared" si="1"/>
        <v>9.6385542168674689</v>
      </c>
      <c r="AM10" s="46">
        <v>12</v>
      </c>
      <c r="AN10" s="46">
        <v>14.4</v>
      </c>
      <c r="AO10" s="47">
        <v>17.3</v>
      </c>
      <c r="AP10" s="52">
        <v>0.41</v>
      </c>
      <c r="AQ10" s="48"/>
    </row>
    <row r="11" spans="1:43" x14ac:dyDescent="0.3">
      <c r="A11" s="30" t="s">
        <v>185</v>
      </c>
      <c r="B11" s="53" t="s">
        <v>130</v>
      </c>
      <c r="C11" s="32" t="str">
        <f>A11&amp;". "&amp;B11</f>
        <v>05. 대규모 사무실</v>
      </c>
      <c r="D11" s="34">
        <v>0.33333333333333331</v>
      </c>
      <c r="E11" s="49">
        <v>0.75</v>
      </c>
      <c r="F11" s="35">
        <f t="shared" si="2"/>
        <v>10</v>
      </c>
      <c r="G11" s="36">
        <v>249</v>
      </c>
      <c r="H11" s="38"/>
      <c r="I11" s="35">
        <f t="shared" si="3"/>
        <v>11</v>
      </c>
      <c r="J11" s="38">
        <f t="shared" si="4"/>
        <v>249</v>
      </c>
      <c r="K11" s="39">
        <f t="shared" si="5"/>
        <v>11</v>
      </c>
      <c r="L11" s="42">
        <v>500</v>
      </c>
      <c r="M11" s="50">
        <v>0.8</v>
      </c>
      <c r="N11" s="43">
        <v>0.93</v>
      </c>
      <c r="O11" s="43">
        <v>0.2</v>
      </c>
      <c r="P11" s="41">
        <v>1</v>
      </c>
      <c r="Q11" s="42">
        <v>21</v>
      </c>
      <c r="R11" s="38">
        <v>26</v>
      </c>
      <c r="S11" s="38">
        <v>4</v>
      </c>
      <c r="T11" s="38">
        <f t="shared" si="6"/>
        <v>20</v>
      </c>
      <c r="U11" s="38">
        <f t="shared" si="7"/>
        <v>28</v>
      </c>
      <c r="V11" s="36">
        <v>25</v>
      </c>
      <c r="W11" s="36">
        <v>60</v>
      </c>
      <c r="X11" s="36">
        <v>35</v>
      </c>
      <c r="Y11" s="36">
        <v>65</v>
      </c>
      <c r="Z11" s="43">
        <v>6</v>
      </c>
      <c r="AA11" s="43">
        <v>1.5</v>
      </c>
      <c r="AB11" s="43">
        <f t="shared" si="8"/>
        <v>5.1000000000000005</v>
      </c>
      <c r="AC11" s="43">
        <v>0.2</v>
      </c>
      <c r="AD11" s="51">
        <v>1</v>
      </c>
      <c r="AE11" s="44">
        <v>6</v>
      </c>
      <c r="AF11" s="45">
        <v>6</v>
      </c>
      <c r="AG11" s="45">
        <v>8.3000000000000007</v>
      </c>
      <c r="AH11" s="45">
        <v>7.3</v>
      </c>
      <c r="AI11" s="45">
        <v>6.3</v>
      </c>
      <c r="AJ11" s="46">
        <f t="shared" si="1"/>
        <v>9.6385542168674689</v>
      </c>
      <c r="AK11" s="46">
        <f t="shared" si="1"/>
        <v>10.95890410958904</v>
      </c>
      <c r="AL11" s="46">
        <f t="shared" si="1"/>
        <v>12.698412698412699</v>
      </c>
      <c r="AM11" s="46">
        <v>17.3</v>
      </c>
      <c r="AN11" s="46">
        <v>19.7</v>
      </c>
      <c r="AO11" s="47">
        <v>22.9</v>
      </c>
      <c r="AP11" s="52">
        <v>0.41</v>
      </c>
      <c r="AQ11" s="48"/>
    </row>
    <row r="12" spans="1:43" x14ac:dyDescent="0.3">
      <c r="A12" s="30" t="s">
        <v>186</v>
      </c>
      <c r="B12" s="53" t="s">
        <v>131</v>
      </c>
      <c r="C12" s="32" t="str">
        <f>A12&amp;". "&amp;B12</f>
        <v>06. 회의실 및 세미나실</v>
      </c>
      <c r="D12" s="34">
        <v>0.375</v>
      </c>
      <c r="E12" s="49">
        <v>0.75</v>
      </c>
      <c r="F12" s="35">
        <f t="shared" si="2"/>
        <v>9</v>
      </c>
      <c r="G12" s="36">
        <v>249</v>
      </c>
      <c r="H12" s="38"/>
      <c r="I12" s="35">
        <f t="shared" si="3"/>
        <v>10</v>
      </c>
      <c r="J12" s="38">
        <f t="shared" si="4"/>
        <v>249</v>
      </c>
      <c r="K12" s="39">
        <f t="shared" si="5"/>
        <v>10</v>
      </c>
      <c r="L12" s="42">
        <v>500</v>
      </c>
      <c r="M12" s="50">
        <v>0.8</v>
      </c>
      <c r="N12" s="43">
        <v>0.93</v>
      </c>
      <c r="O12" s="43">
        <v>0.5</v>
      </c>
      <c r="P12" s="41">
        <v>1</v>
      </c>
      <c r="Q12" s="42">
        <v>21</v>
      </c>
      <c r="R12" s="38">
        <v>26</v>
      </c>
      <c r="S12" s="38">
        <v>4</v>
      </c>
      <c r="T12" s="38">
        <f t="shared" si="6"/>
        <v>20</v>
      </c>
      <c r="U12" s="38">
        <f t="shared" si="7"/>
        <v>28</v>
      </c>
      <c r="V12" s="36">
        <v>25</v>
      </c>
      <c r="W12" s="36">
        <v>60</v>
      </c>
      <c r="X12" s="36">
        <v>35</v>
      </c>
      <c r="Y12" s="36">
        <v>65</v>
      </c>
      <c r="Z12" s="43">
        <v>15</v>
      </c>
      <c r="AA12" s="43">
        <v>1.5</v>
      </c>
      <c r="AB12" s="43">
        <f t="shared" si="8"/>
        <v>8.25</v>
      </c>
      <c r="AC12" s="43">
        <v>0.5</v>
      </c>
      <c r="AD12" s="51">
        <v>0.5</v>
      </c>
      <c r="AE12" s="44">
        <v>4</v>
      </c>
      <c r="AF12" s="45">
        <v>4</v>
      </c>
      <c r="AG12" s="45">
        <v>5</v>
      </c>
      <c r="AH12" s="45">
        <v>3.5</v>
      </c>
      <c r="AI12" s="45">
        <v>2</v>
      </c>
      <c r="AJ12" s="46">
        <f t="shared" si="1"/>
        <v>16</v>
      </c>
      <c r="AK12" s="46">
        <f t="shared" si="1"/>
        <v>22.857142857142858</v>
      </c>
      <c r="AL12" s="46">
        <f t="shared" si="1"/>
        <v>40</v>
      </c>
      <c r="AM12" s="46">
        <v>1</v>
      </c>
      <c r="AN12" s="46">
        <v>2</v>
      </c>
      <c r="AO12" s="47">
        <v>3</v>
      </c>
      <c r="AP12" s="52">
        <v>0</v>
      </c>
      <c r="AQ12" s="48"/>
    </row>
    <row r="13" spans="1:43" x14ac:dyDescent="0.3">
      <c r="A13" s="30" t="s">
        <v>187</v>
      </c>
      <c r="B13" s="53" t="s">
        <v>132</v>
      </c>
      <c r="C13" s="32" t="str">
        <f>A13&amp;". "&amp;B13</f>
        <v>07. 로비, 홀</v>
      </c>
      <c r="D13" s="34">
        <v>0.375</v>
      </c>
      <c r="E13" s="49">
        <v>0.75</v>
      </c>
      <c r="F13" s="35">
        <f t="shared" si="2"/>
        <v>9</v>
      </c>
      <c r="G13" s="36">
        <v>249</v>
      </c>
      <c r="H13" s="38"/>
      <c r="I13" s="35">
        <f t="shared" si="3"/>
        <v>10</v>
      </c>
      <c r="J13" s="38">
        <f t="shared" si="4"/>
        <v>249</v>
      </c>
      <c r="K13" s="39">
        <f t="shared" si="5"/>
        <v>10</v>
      </c>
      <c r="L13" s="42">
        <v>200</v>
      </c>
      <c r="M13" s="50">
        <v>0.8</v>
      </c>
      <c r="N13" s="43">
        <v>0.87</v>
      </c>
      <c r="O13" s="43">
        <v>0</v>
      </c>
      <c r="P13" s="41">
        <v>1</v>
      </c>
      <c r="Q13" s="42">
        <v>21</v>
      </c>
      <c r="R13" s="38">
        <v>26</v>
      </c>
      <c r="S13" s="38">
        <v>4</v>
      </c>
      <c r="T13" s="38">
        <f t="shared" si="6"/>
        <v>20</v>
      </c>
      <c r="U13" s="38">
        <f t="shared" si="7"/>
        <v>28</v>
      </c>
      <c r="V13" s="36">
        <v>25</v>
      </c>
      <c r="W13" s="36">
        <v>60</v>
      </c>
      <c r="X13" s="36">
        <v>35</v>
      </c>
      <c r="Y13" s="36">
        <v>65</v>
      </c>
      <c r="Z13" s="43">
        <v>2</v>
      </c>
      <c r="AA13" s="43">
        <v>1.25</v>
      </c>
      <c r="AB13" s="43">
        <f t="shared" si="8"/>
        <v>1.625</v>
      </c>
      <c r="AC13" s="43">
        <v>0.5</v>
      </c>
      <c r="AD13" s="51">
        <v>1</v>
      </c>
      <c r="AE13" s="44">
        <v>6</v>
      </c>
      <c r="AF13" s="45">
        <v>6</v>
      </c>
      <c r="AG13" s="45">
        <v>16</v>
      </c>
      <c r="AH13" s="45">
        <v>12</v>
      </c>
      <c r="AI13" s="45">
        <v>8</v>
      </c>
      <c r="AJ13" s="46">
        <f t="shared" si="1"/>
        <v>5</v>
      </c>
      <c r="AK13" s="46">
        <f t="shared" si="1"/>
        <v>6.666666666666667</v>
      </c>
      <c r="AL13" s="46">
        <f t="shared" si="1"/>
        <v>10</v>
      </c>
      <c r="AM13" s="46">
        <v>1.5</v>
      </c>
      <c r="AN13" s="46">
        <v>4</v>
      </c>
      <c r="AO13" s="47">
        <v>9.5</v>
      </c>
      <c r="AP13" s="52">
        <v>1</v>
      </c>
      <c r="AQ13" s="48">
        <v>1</v>
      </c>
    </row>
    <row r="14" spans="1:43" x14ac:dyDescent="0.3">
      <c r="A14" s="30" t="s">
        <v>188</v>
      </c>
      <c r="B14" s="53" t="s">
        <v>133</v>
      </c>
      <c r="C14" s="32" t="str">
        <f>A14&amp;". "&amp;B14</f>
        <v>08. 매장(상점/백화점)</v>
      </c>
      <c r="D14" s="34">
        <v>0.33333333333333331</v>
      </c>
      <c r="E14" s="49">
        <v>0.83333333333333337</v>
      </c>
      <c r="F14" s="35">
        <f t="shared" si="2"/>
        <v>12</v>
      </c>
      <c r="G14" s="36">
        <v>299</v>
      </c>
      <c r="H14" s="38"/>
      <c r="I14" s="35">
        <f t="shared" si="3"/>
        <v>13</v>
      </c>
      <c r="J14" s="38">
        <f t="shared" si="4"/>
        <v>299</v>
      </c>
      <c r="K14" s="39">
        <f t="shared" si="5"/>
        <v>13</v>
      </c>
      <c r="L14" s="42">
        <v>300</v>
      </c>
      <c r="M14" s="50">
        <v>0.8</v>
      </c>
      <c r="N14" s="43">
        <v>0.93</v>
      </c>
      <c r="O14" s="43">
        <v>0</v>
      </c>
      <c r="P14" s="41">
        <v>1.5</v>
      </c>
      <c r="Q14" s="42">
        <v>21</v>
      </c>
      <c r="R14" s="38">
        <v>25</v>
      </c>
      <c r="S14" s="38">
        <v>4</v>
      </c>
      <c r="T14" s="38">
        <f t="shared" si="6"/>
        <v>20</v>
      </c>
      <c r="U14" s="38">
        <f t="shared" si="7"/>
        <v>27</v>
      </c>
      <c r="V14" s="36">
        <v>25</v>
      </c>
      <c r="W14" s="36">
        <v>60</v>
      </c>
      <c r="X14" s="36">
        <v>35</v>
      </c>
      <c r="Y14" s="36">
        <v>65</v>
      </c>
      <c r="Z14" s="43">
        <v>4</v>
      </c>
      <c r="AA14" s="43">
        <v>1.5</v>
      </c>
      <c r="AB14" s="43">
        <f t="shared" si="8"/>
        <v>2.75</v>
      </c>
      <c r="AC14" s="43">
        <v>0.5</v>
      </c>
      <c r="AD14" s="51">
        <v>1</v>
      </c>
      <c r="AE14" s="44">
        <v>6</v>
      </c>
      <c r="AF14" s="45">
        <v>12</v>
      </c>
      <c r="AG14" s="45">
        <v>17</v>
      </c>
      <c r="AH14" s="45">
        <v>11</v>
      </c>
      <c r="AI14" s="45">
        <v>5</v>
      </c>
      <c r="AJ14" s="46">
        <f t="shared" si="1"/>
        <v>4.7058823529411766</v>
      </c>
      <c r="AK14" s="46">
        <f t="shared" si="1"/>
        <v>7.2727272727272725</v>
      </c>
      <c r="AL14" s="46">
        <f t="shared" si="1"/>
        <v>16</v>
      </c>
      <c r="AM14" s="46">
        <v>1</v>
      </c>
      <c r="AN14" s="46">
        <v>2</v>
      </c>
      <c r="AO14" s="47">
        <v>3</v>
      </c>
      <c r="AP14" s="52">
        <v>1</v>
      </c>
      <c r="AQ14" s="48">
        <v>3</v>
      </c>
    </row>
    <row r="15" spans="1:43" x14ac:dyDescent="0.3">
      <c r="A15" s="30" t="s">
        <v>189</v>
      </c>
      <c r="B15" s="53" t="s">
        <v>134</v>
      </c>
      <c r="C15" s="32" t="str">
        <f>A15&amp;". "&amp;B15</f>
        <v>09. 어린이 교실</v>
      </c>
      <c r="D15" s="34">
        <v>0.29166666666666669</v>
      </c>
      <c r="E15" s="49">
        <v>0.79166666666666663</v>
      </c>
      <c r="F15" s="35">
        <f t="shared" si="2"/>
        <v>11.999999999999998</v>
      </c>
      <c r="G15" s="36">
        <v>299</v>
      </c>
      <c r="H15" s="38">
        <v>1</v>
      </c>
      <c r="I15" s="35">
        <f t="shared" si="3"/>
        <v>12.999999999999998</v>
      </c>
      <c r="J15" s="38">
        <f t="shared" si="4"/>
        <v>299</v>
      </c>
      <c r="K15" s="39">
        <f t="shared" si="5"/>
        <v>12.999999999999998</v>
      </c>
      <c r="L15" s="42">
        <v>300</v>
      </c>
      <c r="M15" s="50">
        <v>0.8</v>
      </c>
      <c r="N15" s="43">
        <v>0.97</v>
      </c>
      <c r="O15" s="43">
        <v>0.3</v>
      </c>
      <c r="P15" s="41">
        <v>1</v>
      </c>
      <c r="Q15" s="42">
        <v>21</v>
      </c>
      <c r="R15" s="38">
        <v>25.5</v>
      </c>
      <c r="S15" s="38">
        <v>4</v>
      </c>
      <c r="T15" s="38">
        <f t="shared" si="6"/>
        <v>20</v>
      </c>
      <c r="U15" s="38">
        <f t="shared" si="7"/>
        <v>27.5</v>
      </c>
      <c r="V15" s="36">
        <v>25</v>
      </c>
      <c r="W15" s="36">
        <v>60</v>
      </c>
      <c r="X15" s="36">
        <v>35</v>
      </c>
      <c r="Y15" s="36">
        <v>65</v>
      </c>
      <c r="Z15" s="43">
        <v>4</v>
      </c>
      <c r="AA15" s="43">
        <v>1.5</v>
      </c>
      <c r="AB15" s="43">
        <f t="shared" si="8"/>
        <v>2.75</v>
      </c>
      <c r="AC15" s="43">
        <v>0.5</v>
      </c>
      <c r="AD15" s="51">
        <v>1</v>
      </c>
      <c r="AE15" s="44">
        <v>5</v>
      </c>
      <c r="AF15" s="45">
        <v>8</v>
      </c>
      <c r="AG15" s="45">
        <v>3.8</v>
      </c>
      <c r="AH15" s="45">
        <v>3.3</v>
      </c>
      <c r="AI15" s="45">
        <v>2.8</v>
      </c>
      <c r="AJ15" s="46">
        <f>60/AG15</f>
        <v>15.789473684210527</v>
      </c>
      <c r="AK15" s="46">
        <f t="shared" ref="AK15:AL15" si="9">60/AH15</f>
        <v>18.181818181818183</v>
      </c>
      <c r="AL15" s="46">
        <f t="shared" si="9"/>
        <v>21.428571428571431</v>
      </c>
      <c r="AM15" s="46">
        <v>2</v>
      </c>
      <c r="AN15" s="46">
        <v>4</v>
      </c>
      <c r="AO15" s="47">
        <v>6</v>
      </c>
      <c r="AP15" s="52">
        <v>1.5</v>
      </c>
      <c r="AQ15" s="48"/>
    </row>
    <row r="16" spans="1:43" x14ac:dyDescent="0.3">
      <c r="A16" s="30" t="s">
        <v>190</v>
      </c>
      <c r="B16" s="53" t="s">
        <v>135</v>
      </c>
      <c r="C16" s="32" t="str">
        <f>A16&amp;". "&amp;B16</f>
        <v>10. 교실(초,중,고)</v>
      </c>
      <c r="D16" s="34">
        <v>0.33333333333333331</v>
      </c>
      <c r="E16" s="49">
        <v>0.625</v>
      </c>
      <c r="F16" s="35">
        <f t="shared" si="2"/>
        <v>7</v>
      </c>
      <c r="G16" s="36">
        <v>199</v>
      </c>
      <c r="H16" s="38">
        <v>1</v>
      </c>
      <c r="I16" s="35">
        <f t="shared" si="3"/>
        <v>8</v>
      </c>
      <c r="J16" s="38">
        <f t="shared" si="4"/>
        <v>199</v>
      </c>
      <c r="K16" s="39">
        <f t="shared" si="5"/>
        <v>8</v>
      </c>
      <c r="L16" s="42">
        <v>300</v>
      </c>
      <c r="M16" s="50">
        <v>0.8</v>
      </c>
      <c r="N16" s="43">
        <v>0.97</v>
      </c>
      <c r="O16" s="43">
        <v>0.25</v>
      </c>
      <c r="P16" s="41">
        <v>1</v>
      </c>
      <c r="Q16" s="42">
        <v>21</v>
      </c>
      <c r="R16" s="38">
        <v>26</v>
      </c>
      <c r="S16" s="38">
        <v>4</v>
      </c>
      <c r="T16" s="38">
        <f t="shared" si="6"/>
        <v>20</v>
      </c>
      <c r="U16" s="38">
        <f t="shared" si="7"/>
        <v>28</v>
      </c>
      <c r="V16" s="36">
        <v>25</v>
      </c>
      <c r="W16" s="36">
        <v>60</v>
      </c>
      <c r="X16" s="36">
        <v>35</v>
      </c>
      <c r="Y16" s="36">
        <v>65</v>
      </c>
      <c r="Z16" s="43">
        <v>10</v>
      </c>
      <c r="AA16" s="43">
        <v>1.5</v>
      </c>
      <c r="AB16" s="43">
        <f t="shared" si="8"/>
        <v>7.875</v>
      </c>
      <c r="AC16" s="43">
        <v>0.25</v>
      </c>
      <c r="AD16" s="51">
        <v>0.9</v>
      </c>
      <c r="AE16" s="44">
        <v>7</v>
      </c>
      <c r="AF16" s="45">
        <v>9</v>
      </c>
      <c r="AG16" s="45">
        <v>3.8</v>
      </c>
      <c r="AH16" s="45">
        <v>3.3</v>
      </c>
      <c r="AI16" s="45">
        <v>2.8</v>
      </c>
      <c r="AJ16" s="46">
        <f t="shared" si="1"/>
        <v>21.05263157894737</v>
      </c>
      <c r="AK16" s="46">
        <f t="shared" si="1"/>
        <v>24.242424242424242</v>
      </c>
      <c r="AL16" s="46">
        <f t="shared" si="1"/>
        <v>28.571428571428573</v>
      </c>
      <c r="AM16" s="46">
        <v>2</v>
      </c>
      <c r="AN16" s="46">
        <v>4</v>
      </c>
      <c r="AO16" s="47">
        <v>6</v>
      </c>
      <c r="AP16" s="52">
        <v>1.5</v>
      </c>
      <c r="AQ16" s="48"/>
    </row>
    <row r="17" spans="1:43" x14ac:dyDescent="0.3">
      <c r="A17" s="30" t="s">
        <v>191</v>
      </c>
      <c r="B17" s="53" t="s">
        <v>136</v>
      </c>
      <c r="C17" s="32" t="str">
        <f>A17&amp;". "&amp;B17</f>
        <v>11. 강의실(대학교)</v>
      </c>
      <c r="D17" s="34">
        <v>0.375</v>
      </c>
      <c r="E17" s="49">
        <v>0.75</v>
      </c>
      <c r="F17" s="35">
        <f t="shared" si="2"/>
        <v>9</v>
      </c>
      <c r="G17" s="36">
        <v>150</v>
      </c>
      <c r="H17" s="38">
        <v>1</v>
      </c>
      <c r="I17" s="35">
        <f t="shared" si="3"/>
        <v>10</v>
      </c>
      <c r="J17" s="38">
        <f t="shared" si="4"/>
        <v>150</v>
      </c>
      <c r="K17" s="39">
        <f t="shared" si="5"/>
        <v>10</v>
      </c>
      <c r="L17" s="42">
        <v>300</v>
      </c>
      <c r="M17" s="50">
        <v>0.8</v>
      </c>
      <c r="N17" s="43">
        <v>0.97</v>
      </c>
      <c r="O17" s="43">
        <v>0.25</v>
      </c>
      <c r="P17" s="41">
        <v>1</v>
      </c>
      <c r="Q17" s="42">
        <v>21</v>
      </c>
      <c r="R17" s="38">
        <v>26</v>
      </c>
      <c r="S17" s="38">
        <v>4</v>
      </c>
      <c r="T17" s="38">
        <f t="shared" si="6"/>
        <v>20</v>
      </c>
      <c r="U17" s="38">
        <f t="shared" si="7"/>
        <v>28</v>
      </c>
      <c r="V17" s="36">
        <v>25</v>
      </c>
      <c r="W17" s="36">
        <v>60</v>
      </c>
      <c r="X17" s="38">
        <v>35</v>
      </c>
      <c r="Y17" s="38">
        <v>65</v>
      </c>
      <c r="Z17" s="54">
        <v>10</v>
      </c>
      <c r="AA17" s="54">
        <v>1.5</v>
      </c>
      <c r="AB17" s="43">
        <f t="shared" si="8"/>
        <v>4.9000000000000004</v>
      </c>
      <c r="AC17" s="54">
        <f>AE17/I17</f>
        <v>0.6</v>
      </c>
      <c r="AD17" s="41">
        <v>1</v>
      </c>
      <c r="AE17" s="44">
        <v>6</v>
      </c>
      <c r="AF17" s="45">
        <v>8</v>
      </c>
      <c r="AG17" s="45">
        <v>4.5999999999999996</v>
      </c>
      <c r="AH17" s="45">
        <v>4</v>
      </c>
      <c r="AI17" s="45">
        <v>3.7</v>
      </c>
      <c r="AJ17" s="46">
        <f>80/AG17</f>
        <v>17.39130434782609</v>
      </c>
      <c r="AK17" s="46">
        <f t="shared" si="1"/>
        <v>20</v>
      </c>
      <c r="AL17" s="46">
        <f t="shared" si="1"/>
        <v>21.621621621621621</v>
      </c>
      <c r="AM17" s="46">
        <v>2</v>
      </c>
      <c r="AN17" s="46">
        <v>4</v>
      </c>
      <c r="AO17" s="47">
        <v>6</v>
      </c>
      <c r="AP17" s="52">
        <v>0.4</v>
      </c>
      <c r="AQ17" s="48"/>
    </row>
    <row r="18" spans="1:43" x14ac:dyDescent="0.3">
      <c r="A18" s="30" t="s">
        <v>192</v>
      </c>
      <c r="B18" s="53" t="s">
        <v>137</v>
      </c>
      <c r="C18" s="32" t="str">
        <f>A18&amp;". "&amp;B18</f>
        <v>12. 강당</v>
      </c>
      <c r="D18" s="34">
        <v>0.375</v>
      </c>
      <c r="E18" s="49">
        <v>0.75</v>
      </c>
      <c r="F18" s="35">
        <f t="shared" si="2"/>
        <v>9</v>
      </c>
      <c r="G18" s="36">
        <v>150</v>
      </c>
      <c r="H18" s="38">
        <v>1</v>
      </c>
      <c r="I18" s="35">
        <f t="shared" si="3"/>
        <v>10</v>
      </c>
      <c r="J18" s="38">
        <f t="shared" si="4"/>
        <v>150</v>
      </c>
      <c r="K18" s="39">
        <f t="shared" si="5"/>
        <v>10</v>
      </c>
      <c r="L18" s="42">
        <v>500</v>
      </c>
      <c r="M18" s="50">
        <v>0.8</v>
      </c>
      <c r="N18" s="43">
        <v>0.92</v>
      </c>
      <c r="O18" s="43">
        <v>0.25</v>
      </c>
      <c r="P18" s="41">
        <v>1</v>
      </c>
      <c r="Q18" s="42">
        <v>21</v>
      </c>
      <c r="R18" s="38">
        <v>26</v>
      </c>
      <c r="S18" s="38">
        <v>4</v>
      </c>
      <c r="T18" s="38">
        <f t="shared" si="6"/>
        <v>20</v>
      </c>
      <c r="U18" s="38">
        <f t="shared" si="7"/>
        <v>28</v>
      </c>
      <c r="V18" s="36">
        <v>25</v>
      </c>
      <c r="W18" s="36">
        <v>60</v>
      </c>
      <c r="X18" s="38">
        <v>35</v>
      </c>
      <c r="Y18" s="38">
        <v>65</v>
      </c>
      <c r="Z18" s="54">
        <v>30</v>
      </c>
      <c r="AA18" s="54">
        <v>1.5</v>
      </c>
      <c r="AB18" s="43">
        <f t="shared" si="8"/>
        <v>15.75</v>
      </c>
      <c r="AC18" s="54">
        <v>0.5</v>
      </c>
      <c r="AD18" s="41">
        <v>0.6</v>
      </c>
      <c r="AE18" s="44">
        <v>6</v>
      </c>
      <c r="AF18" s="45">
        <v>6</v>
      </c>
      <c r="AG18" s="45">
        <v>1.2</v>
      </c>
      <c r="AH18" s="45">
        <v>1</v>
      </c>
      <c r="AI18" s="45">
        <v>0.8</v>
      </c>
      <c r="AJ18" s="46">
        <v>58.3</v>
      </c>
      <c r="AK18" s="46">
        <v>70</v>
      </c>
      <c r="AL18" s="46">
        <v>87.5</v>
      </c>
      <c r="AM18" s="46">
        <v>2</v>
      </c>
      <c r="AN18" s="46">
        <v>4</v>
      </c>
      <c r="AO18" s="47">
        <v>6</v>
      </c>
      <c r="AP18" s="52">
        <v>0</v>
      </c>
      <c r="AQ18" s="48"/>
    </row>
    <row r="19" spans="1:43" x14ac:dyDescent="0.3">
      <c r="A19" s="30" t="s">
        <v>193</v>
      </c>
      <c r="B19" s="53" t="s">
        <v>138</v>
      </c>
      <c r="C19" s="32" t="str">
        <f>A19&amp;". "&amp;B19</f>
        <v>13. 병실</v>
      </c>
      <c r="D19" s="34">
        <v>0</v>
      </c>
      <c r="E19" s="55" t="s">
        <v>139</v>
      </c>
      <c r="F19" s="35">
        <f t="shared" si="2"/>
        <v>24</v>
      </c>
      <c r="G19" s="36">
        <v>365</v>
      </c>
      <c r="H19" s="38"/>
      <c r="I19" s="35">
        <f t="shared" si="3"/>
        <v>24</v>
      </c>
      <c r="J19" s="38">
        <f t="shared" si="4"/>
        <v>365</v>
      </c>
      <c r="K19" s="39">
        <f t="shared" si="5"/>
        <v>17</v>
      </c>
      <c r="L19" s="42">
        <v>300</v>
      </c>
      <c r="M19" s="50">
        <v>0.8</v>
      </c>
      <c r="N19" s="43">
        <v>1</v>
      </c>
      <c r="O19" s="43">
        <v>0</v>
      </c>
      <c r="P19" s="41">
        <v>1</v>
      </c>
      <c r="Q19" s="42">
        <v>22</v>
      </c>
      <c r="R19" s="38">
        <v>26</v>
      </c>
      <c r="S19" s="56">
        <v>0</v>
      </c>
      <c r="T19" s="38">
        <f t="shared" si="6"/>
        <v>21</v>
      </c>
      <c r="U19" s="38">
        <f t="shared" si="7"/>
        <v>28</v>
      </c>
      <c r="V19" s="36">
        <v>25</v>
      </c>
      <c r="W19" s="36">
        <v>60</v>
      </c>
      <c r="X19" s="38">
        <v>35</v>
      </c>
      <c r="Y19" s="38">
        <v>65</v>
      </c>
      <c r="Z19" s="54">
        <v>5</v>
      </c>
      <c r="AA19" s="54">
        <v>1.5</v>
      </c>
      <c r="AB19" s="43">
        <f t="shared" si="8"/>
        <v>5</v>
      </c>
      <c r="AC19" s="54">
        <v>0</v>
      </c>
      <c r="AD19" s="41">
        <v>0.8</v>
      </c>
      <c r="AE19" s="44">
        <v>24</v>
      </c>
      <c r="AF19" s="45">
        <v>6</v>
      </c>
      <c r="AG19" s="45">
        <v>19</v>
      </c>
      <c r="AH19" s="45">
        <v>14</v>
      </c>
      <c r="AI19" s="45">
        <v>10</v>
      </c>
      <c r="AJ19" s="46">
        <v>3.7</v>
      </c>
      <c r="AK19" s="46">
        <v>5</v>
      </c>
      <c r="AL19" s="46">
        <v>7</v>
      </c>
      <c r="AM19" s="46">
        <v>2</v>
      </c>
      <c r="AN19" s="46">
        <v>4</v>
      </c>
      <c r="AO19" s="47">
        <v>6</v>
      </c>
      <c r="AP19" s="52">
        <v>4.0999999999999996</v>
      </c>
      <c r="AQ19" s="48"/>
    </row>
    <row r="20" spans="1:43" x14ac:dyDescent="0.3">
      <c r="A20" s="30" t="s">
        <v>194</v>
      </c>
      <c r="B20" s="53" t="s">
        <v>140</v>
      </c>
      <c r="C20" s="32" t="str">
        <f>A20&amp;". "&amp;B20</f>
        <v>14. 객실</v>
      </c>
      <c r="D20" s="34">
        <v>0.875</v>
      </c>
      <c r="E20" s="49">
        <v>0.33333333333333331</v>
      </c>
      <c r="F20" s="38">
        <f>(D20-E20)*24</f>
        <v>13.000000000000002</v>
      </c>
      <c r="G20" s="36">
        <v>365</v>
      </c>
      <c r="H20" s="38"/>
      <c r="I20" s="35">
        <f t="shared" si="3"/>
        <v>14.000000000000002</v>
      </c>
      <c r="J20" s="38">
        <f t="shared" si="4"/>
        <v>365</v>
      </c>
      <c r="K20" s="39">
        <f t="shared" si="5"/>
        <v>14.000000000000002</v>
      </c>
      <c r="L20" s="42">
        <v>200</v>
      </c>
      <c r="M20" s="50">
        <v>0.8</v>
      </c>
      <c r="N20" s="43">
        <v>1</v>
      </c>
      <c r="O20" s="43">
        <v>0.6</v>
      </c>
      <c r="P20" s="41">
        <v>1</v>
      </c>
      <c r="Q20" s="42">
        <v>21</v>
      </c>
      <c r="R20" s="38">
        <v>26</v>
      </c>
      <c r="S20" s="56">
        <v>0</v>
      </c>
      <c r="T20" s="38">
        <f t="shared" si="6"/>
        <v>20</v>
      </c>
      <c r="U20" s="38">
        <f t="shared" si="7"/>
        <v>28</v>
      </c>
      <c r="V20" s="36">
        <v>25</v>
      </c>
      <c r="W20" s="36">
        <v>60</v>
      </c>
      <c r="X20" s="38">
        <v>35</v>
      </c>
      <c r="Y20" s="38">
        <v>65</v>
      </c>
      <c r="Z20" s="54">
        <v>3</v>
      </c>
      <c r="AA20" s="54">
        <v>1.5</v>
      </c>
      <c r="AB20" s="43">
        <f t="shared" si="8"/>
        <v>2.25</v>
      </c>
      <c r="AC20" s="54">
        <v>0.5</v>
      </c>
      <c r="AD20" s="41">
        <v>0.5</v>
      </c>
      <c r="AE20" s="44">
        <v>10</v>
      </c>
      <c r="AF20" s="45">
        <v>11</v>
      </c>
      <c r="AG20" s="45">
        <v>12</v>
      </c>
      <c r="AH20" s="45">
        <v>10</v>
      </c>
      <c r="AI20" s="45">
        <v>8</v>
      </c>
      <c r="AJ20" s="46">
        <v>5.8</v>
      </c>
      <c r="AK20" s="46">
        <v>7</v>
      </c>
      <c r="AL20" s="46">
        <v>8.8000000000000007</v>
      </c>
      <c r="AM20" s="46">
        <v>2</v>
      </c>
      <c r="AN20" s="46">
        <v>4</v>
      </c>
      <c r="AO20" s="47">
        <v>6</v>
      </c>
      <c r="AP20" s="52">
        <v>4.0999999999999996</v>
      </c>
      <c r="AQ20" s="48"/>
    </row>
    <row r="21" spans="1:43" x14ac:dyDescent="0.3">
      <c r="A21" s="30" t="s">
        <v>195</v>
      </c>
      <c r="B21" s="53" t="s">
        <v>141</v>
      </c>
      <c r="C21" s="32" t="str">
        <f>A21&amp;". "&amp;B21</f>
        <v>15. 구내식당</v>
      </c>
      <c r="D21" s="34">
        <v>0.33333333333333331</v>
      </c>
      <c r="E21" s="49">
        <v>0.625</v>
      </c>
      <c r="F21" s="35">
        <f t="shared" si="2"/>
        <v>7</v>
      </c>
      <c r="G21" s="36">
        <v>249</v>
      </c>
      <c r="H21" s="38"/>
      <c r="I21" s="35">
        <f t="shared" si="3"/>
        <v>8</v>
      </c>
      <c r="J21" s="38">
        <f t="shared" si="4"/>
        <v>249</v>
      </c>
      <c r="K21" s="39">
        <f t="shared" si="5"/>
        <v>8</v>
      </c>
      <c r="L21" s="42">
        <v>200</v>
      </c>
      <c r="M21" s="50">
        <v>0.8</v>
      </c>
      <c r="N21" s="43">
        <v>0.97</v>
      </c>
      <c r="O21" s="43">
        <v>0</v>
      </c>
      <c r="P21" s="41">
        <v>1</v>
      </c>
      <c r="Q21" s="42">
        <v>21</v>
      </c>
      <c r="R21" s="38">
        <v>26</v>
      </c>
      <c r="S21" s="38">
        <v>4</v>
      </c>
      <c r="T21" s="38">
        <f t="shared" si="6"/>
        <v>20</v>
      </c>
      <c r="U21" s="38">
        <f t="shared" si="7"/>
        <v>28</v>
      </c>
      <c r="V21" s="36">
        <v>25</v>
      </c>
      <c r="W21" s="36">
        <v>60</v>
      </c>
      <c r="X21" s="38">
        <v>35</v>
      </c>
      <c r="Y21" s="38">
        <v>65</v>
      </c>
      <c r="Z21" s="54">
        <v>18</v>
      </c>
      <c r="AA21" s="54">
        <v>1.5</v>
      </c>
      <c r="AB21" s="43">
        <f>Z21*(1-AC21)+AA21*AC21</f>
        <v>6.45</v>
      </c>
      <c r="AC21" s="54">
        <v>0.7</v>
      </c>
      <c r="AD21" s="41">
        <v>1</v>
      </c>
      <c r="AE21" s="44">
        <v>3</v>
      </c>
      <c r="AF21" s="45">
        <v>5</v>
      </c>
      <c r="AG21" s="45">
        <v>1.4</v>
      </c>
      <c r="AH21" s="45">
        <v>1.2</v>
      </c>
      <c r="AI21" s="45">
        <v>0.8</v>
      </c>
      <c r="AJ21" s="46">
        <v>50</v>
      </c>
      <c r="AK21" s="46">
        <v>58.3</v>
      </c>
      <c r="AL21" s="46">
        <v>87.5</v>
      </c>
      <c r="AM21" s="46">
        <v>1</v>
      </c>
      <c r="AN21" s="46">
        <v>2</v>
      </c>
      <c r="AO21" s="47">
        <v>3</v>
      </c>
      <c r="AP21" s="52">
        <v>1.1000000000000001</v>
      </c>
      <c r="AQ21" s="48"/>
    </row>
    <row r="22" spans="1:43" x14ac:dyDescent="0.3">
      <c r="A22" s="30" t="s">
        <v>196</v>
      </c>
      <c r="B22" s="53" t="s">
        <v>142</v>
      </c>
      <c r="C22" s="32" t="str">
        <f>A22&amp;". "&amp;B22</f>
        <v>16. 레스토랑</v>
      </c>
      <c r="D22" s="34">
        <v>0.41666666666666669</v>
      </c>
      <c r="E22" s="35" t="s">
        <v>126</v>
      </c>
      <c r="F22" s="35">
        <f t="shared" si="2"/>
        <v>13.999999999999998</v>
      </c>
      <c r="G22" s="36">
        <v>299</v>
      </c>
      <c r="H22" s="38"/>
      <c r="I22" s="35">
        <f t="shared" si="3"/>
        <v>14.999999999999998</v>
      </c>
      <c r="J22" s="38">
        <f t="shared" si="4"/>
        <v>299</v>
      </c>
      <c r="K22" s="39">
        <f t="shared" si="5"/>
        <v>14.999999999999998</v>
      </c>
      <c r="L22" s="42">
        <v>200</v>
      </c>
      <c r="M22" s="50">
        <v>0.8</v>
      </c>
      <c r="N22" s="43">
        <v>1</v>
      </c>
      <c r="O22" s="43">
        <v>0</v>
      </c>
      <c r="P22" s="41">
        <v>1</v>
      </c>
      <c r="Q22" s="42">
        <v>21</v>
      </c>
      <c r="R22" s="38">
        <v>26</v>
      </c>
      <c r="S22" s="38">
        <v>4</v>
      </c>
      <c r="T22" s="38">
        <f t="shared" si="6"/>
        <v>20</v>
      </c>
      <c r="U22" s="38">
        <f t="shared" si="7"/>
        <v>28</v>
      </c>
      <c r="V22" s="36">
        <v>25</v>
      </c>
      <c r="W22" s="36">
        <v>60</v>
      </c>
      <c r="X22" s="38">
        <v>35</v>
      </c>
      <c r="Y22" s="38">
        <v>65</v>
      </c>
      <c r="Z22" s="54">
        <v>18</v>
      </c>
      <c r="AA22" s="54">
        <v>1.5</v>
      </c>
      <c r="AB22" s="43">
        <f t="shared" si="8"/>
        <v>8.1</v>
      </c>
      <c r="AC22" s="54">
        <v>0.6</v>
      </c>
      <c r="AD22" s="41">
        <v>0.7</v>
      </c>
      <c r="AE22" s="44">
        <v>4</v>
      </c>
      <c r="AF22" s="45">
        <v>7</v>
      </c>
      <c r="AG22" s="45">
        <v>1.6</v>
      </c>
      <c r="AH22" s="45">
        <v>1.2</v>
      </c>
      <c r="AI22" s="45">
        <v>0.8</v>
      </c>
      <c r="AJ22" s="46">
        <v>43.8</v>
      </c>
      <c r="AK22" s="46">
        <v>58.3</v>
      </c>
      <c r="AL22" s="46">
        <v>87.5</v>
      </c>
      <c r="AM22" s="46">
        <v>1</v>
      </c>
      <c r="AN22" s="46">
        <v>2</v>
      </c>
      <c r="AO22" s="47">
        <v>3</v>
      </c>
      <c r="AP22" s="52">
        <v>1.1000000000000001</v>
      </c>
      <c r="AQ22" s="48"/>
    </row>
    <row r="23" spans="1:43" x14ac:dyDescent="0.3">
      <c r="A23" s="30" t="s">
        <v>197</v>
      </c>
      <c r="B23" s="53" t="s">
        <v>143</v>
      </c>
      <c r="C23" s="32" t="str">
        <f>A23&amp;". "&amp;B23</f>
        <v>17. 주방 및 조리실</v>
      </c>
      <c r="D23" s="34">
        <v>0.41666666666666669</v>
      </c>
      <c r="E23" s="49">
        <v>0.95833333333333337</v>
      </c>
      <c r="F23" s="35">
        <f t="shared" si="2"/>
        <v>13.000000000000002</v>
      </c>
      <c r="G23" s="36">
        <v>299</v>
      </c>
      <c r="H23" s="38"/>
      <c r="I23" s="35">
        <f t="shared" si="3"/>
        <v>14.000000000000002</v>
      </c>
      <c r="J23" s="38">
        <f t="shared" si="4"/>
        <v>299</v>
      </c>
      <c r="K23" s="39">
        <f t="shared" si="5"/>
        <v>14.000000000000002</v>
      </c>
      <c r="L23" s="42">
        <v>500</v>
      </c>
      <c r="M23" s="50">
        <v>0.8</v>
      </c>
      <c r="N23" s="43">
        <v>0.96</v>
      </c>
      <c r="O23" s="43">
        <v>0.5</v>
      </c>
      <c r="P23" s="41">
        <v>1</v>
      </c>
      <c r="Q23" s="42">
        <v>21</v>
      </c>
      <c r="R23" s="38">
        <v>26</v>
      </c>
      <c r="S23" s="38">
        <v>4</v>
      </c>
      <c r="T23" s="38">
        <f t="shared" si="6"/>
        <v>20</v>
      </c>
      <c r="U23" s="38">
        <f t="shared" si="7"/>
        <v>28</v>
      </c>
      <c r="V23" s="36">
        <v>0</v>
      </c>
      <c r="W23" s="36">
        <v>100</v>
      </c>
      <c r="X23" s="38">
        <v>110</v>
      </c>
      <c r="Y23" s="38">
        <v>150</v>
      </c>
      <c r="Z23" s="54">
        <v>90</v>
      </c>
      <c r="AA23" s="54">
        <v>1.5</v>
      </c>
      <c r="AB23" s="43">
        <f t="shared" si="8"/>
        <v>28.050000000000004</v>
      </c>
      <c r="AC23" s="43">
        <v>0.7</v>
      </c>
      <c r="AD23" s="41">
        <v>1</v>
      </c>
      <c r="AE23" s="44">
        <v>7</v>
      </c>
      <c r="AF23" s="45">
        <v>6</v>
      </c>
      <c r="AG23" s="45">
        <v>10</v>
      </c>
      <c r="AH23" s="45">
        <v>10</v>
      </c>
      <c r="AI23" s="45">
        <v>10</v>
      </c>
      <c r="AJ23" s="46">
        <v>8</v>
      </c>
      <c r="AK23" s="46">
        <v>8</v>
      </c>
      <c r="AL23" s="46">
        <v>8</v>
      </c>
      <c r="AM23" s="46">
        <v>200</v>
      </c>
      <c r="AN23" s="46">
        <v>300</v>
      </c>
      <c r="AO23" s="47">
        <v>400</v>
      </c>
      <c r="AP23" s="52">
        <v>0</v>
      </c>
      <c r="AQ23" s="48"/>
    </row>
    <row r="24" spans="1:43" x14ac:dyDescent="0.3">
      <c r="A24" s="30" t="s">
        <v>198</v>
      </c>
      <c r="B24" s="53" t="s">
        <v>144</v>
      </c>
      <c r="C24" s="32" t="str">
        <f>A24&amp;". "&amp;B24</f>
        <v>18. 화장실, 샤워실</v>
      </c>
      <c r="D24" s="34">
        <v>0.29166666666666669</v>
      </c>
      <c r="E24" s="49">
        <v>0.75</v>
      </c>
      <c r="F24" s="35">
        <f t="shared" si="2"/>
        <v>11</v>
      </c>
      <c r="G24" s="36">
        <v>249</v>
      </c>
      <c r="H24" s="38"/>
      <c r="I24" s="35">
        <f t="shared" si="3"/>
        <v>12</v>
      </c>
      <c r="J24" s="38">
        <f t="shared" si="4"/>
        <v>249</v>
      </c>
      <c r="K24" s="39">
        <f t="shared" si="5"/>
        <v>12</v>
      </c>
      <c r="L24" s="42">
        <v>200</v>
      </c>
      <c r="M24" s="50">
        <v>0.8</v>
      </c>
      <c r="N24" s="43">
        <v>1</v>
      </c>
      <c r="O24" s="43">
        <v>0.9</v>
      </c>
      <c r="P24" s="41">
        <v>1</v>
      </c>
      <c r="Q24" s="42">
        <v>21</v>
      </c>
      <c r="R24" s="38">
        <v>26</v>
      </c>
      <c r="S24" s="38">
        <v>4</v>
      </c>
      <c r="T24" s="38">
        <f t="shared" si="6"/>
        <v>20</v>
      </c>
      <c r="U24" s="38">
        <f t="shared" si="7"/>
        <v>28</v>
      </c>
      <c r="V24" s="38">
        <v>0</v>
      </c>
      <c r="W24" s="38">
        <v>100</v>
      </c>
      <c r="X24" s="38">
        <v>0</v>
      </c>
      <c r="Y24" s="38">
        <v>0</v>
      </c>
      <c r="Z24" s="54">
        <v>15</v>
      </c>
      <c r="AA24" s="54">
        <v>5</v>
      </c>
      <c r="AB24" s="43">
        <f t="shared" si="8"/>
        <v>8</v>
      </c>
      <c r="AC24" s="43">
        <v>0.7</v>
      </c>
      <c r="AD24" s="41">
        <v>1</v>
      </c>
      <c r="AE24" s="44">
        <v>0</v>
      </c>
      <c r="AF24" s="45">
        <v>0</v>
      </c>
      <c r="AG24" s="45">
        <v>0</v>
      </c>
      <c r="AH24" s="45">
        <v>0</v>
      </c>
      <c r="AI24" s="45">
        <v>0</v>
      </c>
      <c r="AJ24" s="45">
        <v>0</v>
      </c>
      <c r="AK24" s="45">
        <v>0</v>
      </c>
      <c r="AL24" s="45">
        <v>0</v>
      </c>
      <c r="AM24" s="45">
        <v>0</v>
      </c>
      <c r="AN24" s="45">
        <v>0</v>
      </c>
      <c r="AO24" s="57">
        <v>0</v>
      </c>
      <c r="AP24" s="52">
        <v>0</v>
      </c>
      <c r="AQ24" s="48"/>
    </row>
    <row r="25" spans="1:43" x14ac:dyDescent="0.3">
      <c r="A25" s="30" t="s">
        <v>199</v>
      </c>
      <c r="B25" s="53" t="s">
        <v>145</v>
      </c>
      <c r="C25" s="32" t="str">
        <f>A25&amp;". "&amp;B25</f>
        <v>19. 그 외 체류공간</v>
      </c>
      <c r="D25" s="34">
        <v>0.29166666666666669</v>
      </c>
      <c r="E25" s="49">
        <v>0.75</v>
      </c>
      <c r="F25" s="35">
        <f t="shared" si="2"/>
        <v>11</v>
      </c>
      <c r="G25" s="36">
        <v>249</v>
      </c>
      <c r="H25" s="38"/>
      <c r="I25" s="35">
        <f t="shared" si="3"/>
        <v>12</v>
      </c>
      <c r="J25" s="38">
        <f t="shared" si="4"/>
        <v>249</v>
      </c>
      <c r="K25" s="39">
        <f t="shared" si="5"/>
        <v>12</v>
      </c>
      <c r="L25" s="42">
        <v>300</v>
      </c>
      <c r="M25" s="50">
        <v>0.8</v>
      </c>
      <c r="N25" s="43">
        <v>0.93</v>
      </c>
      <c r="O25" s="43">
        <v>0.5</v>
      </c>
      <c r="P25" s="41">
        <v>1</v>
      </c>
      <c r="Q25" s="42">
        <v>21</v>
      </c>
      <c r="R25" s="38">
        <v>26</v>
      </c>
      <c r="S25" s="38">
        <v>4</v>
      </c>
      <c r="T25" s="38">
        <f t="shared" si="6"/>
        <v>20</v>
      </c>
      <c r="U25" s="38">
        <f t="shared" si="7"/>
        <v>28</v>
      </c>
      <c r="V25" s="38">
        <v>25</v>
      </c>
      <c r="W25" s="38">
        <v>60</v>
      </c>
      <c r="X25" s="38">
        <v>35</v>
      </c>
      <c r="Y25" s="38">
        <v>65</v>
      </c>
      <c r="Z25" s="54">
        <v>7</v>
      </c>
      <c r="AA25" s="54">
        <v>1.5</v>
      </c>
      <c r="AB25" s="43">
        <f t="shared" si="8"/>
        <v>4.25</v>
      </c>
      <c r="AC25" s="50">
        <v>0.5</v>
      </c>
      <c r="AD25" s="41">
        <v>0.8</v>
      </c>
      <c r="AE25" s="44">
        <v>4</v>
      </c>
      <c r="AF25" s="45">
        <v>4</v>
      </c>
      <c r="AG25" s="45">
        <v>4</v>
      </c>
      <c r="AH25" s="45">
        <v>3</v>
      </c>
      <c r="AI25" s="45">
        <v>2</v>
      </c>
      <c r="AJ25" s="46">
        <v>17.5</v>
      </c>
      <c r="AK25" s="46">
        <v>23.3</v>
      </c>
      <c r="AL25" s="46">
        <v>35</v>
      </c>
      <c r="AM25" s="46">
        <v>1</v>
      </c>
      <c r="AN25" s="46">
        <v>2</v>
      </c>
      <c r="AO25" s="47">
        <v>3</v>
      </c>
      <c r="AP25" s="52">
        <v>0</v>
      </c>
      <c r="AQ25" s="48"/>
    </row>
    <row r="26" spans="1:43" x14ac:dyDescent="0.3">
      <c r="A26" s="30" t="s">
        <v>200</v>
      </c>
      <c r="B26" s="53" t="s">
        <v>146</v>
      </c>
      <c r="C26" s="32" t="str">
        <f>A26&amp;". "&amp;B26</f>
        <v>20. 부속공간</v>
      </c>
      <c r="D26" s="34">
        <v>0.29166666666666669</v>
      </c>
      <c r="E26" s="49">
        <v>0.75</v>
      </c>
      <c r="F26" s="35">
        <f t="shared" si="2"/>
        <v>11</v>
      </c>
      <c r="G26" s="36">
        <v>249</v>
      </c>
      <c r="H26" s="38"/>
      <c r="I26" s="35">
        <f t="shared" si="3"/>
        <v>12</v>
      </c>
      <c r="J26" s="38">
        <f t="shared" si="4"/>
        <v>249</v>
      </c>
      <c r="K26" s="39">
        <f t="shared" si="5"/>
        <v>12</v>
      </c>
      <c r="L26" s="42">
        <v>100</v>
      </c>
      <c r="M26" s="50">
        <v>0.8</v>
      </c>
      <c r="N26" s="43">
        <v>1</v>
      </c>
      <c r="O26" s="43">
        <v>0.9</v>
      </c>
      <c r="P26" s="41">
        <v>1</v>
      </c>
      <c r="Q26" s="42">
        <v>21</v>
      </c>
      <c r="R26" s="38">
        <v>27</v>
      </c>
      <c r="S26" s="38">
        <v>4</v>
      </c>
      <c r="T26" s="38">
        <f t="shared" si="6"/>
        <v>20</v>
      </c>
      <c r="U26" s="38">
        <f t="shared" si="7"/>
        <v>29</v>
      </c>
      <c r="V26" s="38">
        <v>0</v>
      </c>
      <c r="W26" s="38">
        <v>100</v>
      </c>
      <c r="X26" s="38">
        <v>0</v>
      </c>
      <c r="Y26" s="38">
        <v>0</v>
      </c>
      <c r="Z26" s="54">
        <v>0.2</v>
      </c>
      <c r="AA26" s="45">
        <v>0.2</v>
      </c>
      <c r="AB26" s="43">
        <f t="shared" si="8"/>
        <v>0.2</v>
      </c>
      <c r="AC26" s="45">
        <v>0</v>
      </c>
      <c r="AD26" s="57">
        <v>1</v>
      </c>
      <c r="AE26" s="44">
        <v>0</v>
      </c>
      <c r="AF26" s="45">
        <v>0</v>
      </c>
      <c r="AG26" s="45">
        <v>0</v>
      </c>
      <c r="AH26" s="45">
        <v>0</v>
      </c>
      <c r="AI26" s="45">
        <v>0</v>
      </c>
      <c r="AJ26" s="45">
        <v>0</v>
      </c>
      <c r="AK26" s="45">
        <v>0</v>
      </c>
      <c r="AL26" s="45">
        <v>0</v>
      </c>
      <c r="AM26" s="45">
        <v>0</v>
      </c>
      <c r="AN26" s="45">
        <v>0</v>
      </c>
      <c r="AO26" s="57">
        <v>0</v>
      </c>
      <c r="AP26" s="52">
        <v>0</v>
      </c>
      <c r="AQ26" s="48"/>
    </row>
    <row r="27" spans="1:43" x14ac:dyDescent="0.3">
      <c r="A27" s="30" t="s">
        <v>201</v>
      </c>
      <c r="B27" s="53" t="s">
        <v>147</v>
      </c>
      <c r="C27" s="32" t="str">
        <f>A27&amp;". "&amp;B27</f>
        <v>21. 복도</v>
      </c>
      <c r="D27" s="34">
        <v>0.29166666666666669</v>
      </c>
      <c r="E27" s="49">
        <v>0.75</v>
      </c>
      <c r="F27" s="35">
        <f t="shared" si="2"/>
        <v>11</v>
      </c>
      <c r="G27" s="36">
        <v>249</v>
      </c>
      <c r="H27" s="38"/>
      <c r="I27" s="35">
        <f t="shared" si="3"/>
        <v>12</v>
      </c>
      <c r="J27" s="38">
        <f t="shared" si="4"/>
        <v>249</v>
      </c>
      <c r="K27" s="39">
        <f t="shared" si="5"/>
        <v>12</v>
      </c>
      <c r="L27" s="42">
        <v>100</v>
      </c>
      <c r="M27" s="50">
        <v>0.2</v>
      </c>
      <c r="N27" s="43">
        <v>1</v>
      </c>
      <c r="O27" s="43">
        <v>0.8</v>
      </c>
      <c r="P27" s="41">
        <v>1</v>
      </c>
      <c r="Q27" s="42">
        <v>21</v>
      </c>
      <c r="R27" s="38">
        <v>27</v>
      </c>
      <c r="S27" s="38">
        <v>4</v>
      </c>
      <c r="T27" s="38">
        <f t="shared" si="6"/>
        <v>20</v>
      </c>
      <c r="U27" s="38">
        <f t="shared" si="7"/>
        <v>29</v>
      </c>
      <c r="V27" s="38">
        <v>0</v>
      </c>
      <c r="W27" s="38">
        <v>100</v>
      </c>
      <c r="X27" s="38">
        <v>0</v>
      </c>
      <c r="Y27" s="38">
        <v>0</v>
      </c>
      <c r="Z27" s="54">
        <v>0.2</v>
      </c>
      <c r="AA27" s="45">
        <v>0.2</v>
      </c>
      <c r="AB27" s="43">
        <f t="shared" si="8"/>
        <v>0.2</v>
      </c>
      <c r="AC27" s="45">
        <v>0</v>
      </c>
      <c r="AD27" s="57">
        <v>1</v>
      </c>
      <c r="AE27" s="44">
        <v>0</v>
      </c>
      <c r="AF27" s="45">
        <v>0</v>
      </c>
      <c r="AG27" s="45">
        <v>0</v>
      </c>
      <c r="AH27" s="45">
        <v>0</v>
      </c>
      <c r="AI27" s="45">
        <v>0</v>
      </c>
      <c r="AJ27" s="45">
        <v>0</v>
      </c>
      <c r="AK27" s="45">
        <v>0</v>
      </c>
      <c r="AL27" s="45">
        <v>0</v>
      </c>
      <c r="AM27" s="45">
        <v>0</v>
      </c>
      <c r="AN27" s="45">
        <v>0</v>
      </c>
      <c r="AO27" s="57">
        <v>0</v>
      </c>
      <c r="AP27" s="52">
        <v>0</v>
      </c>
      <c r="AQ27" s="48"/>
    </row>
    <row r="28" spans="1:43" x14ac:dyDescent="0.3">
      <c r="A28" s="30" t="s">
        <v>202</v>
      </c>
      <c r="B28" s="53" t="s">
        <v>148</v>
      </c>
      <c r="C28" s="32" t="str">
        <f>A28&amp;". "&amp;B28</f>
        <v>22. 창고/설비/문서실</v>
      </c>
      <c r="D28" s="34">
        <v>0.29166666666666669</v>
      </c>
      <c r="E28" s="49">
        <v>0.75</v>
      </c>
      <c r="F28" s="35">
        <f t="shared" si="2"/>
        <v>11</v>
      </c>
      <c r="G28" s="36">
        <v>249</v>
      </c>
      <c r="H28" s="38"/>
      <c r="I28" s="35">
        <f t="shared" si="3"/>
        <v>12</v>
      </c>
      <c r="J28" s="38">
        <f t="shared" si="4"/>
        <v>249</v>
      </c>
      <c r="K28" s="39">
        <f t="shared" si="5"/>
        <v>12</v>
      </c>
      <c r="L28" s="42">
        <v>100</v>
      </c>
      <c r="M28" s="50">
        <v>0.8</v>
      </c>
      <c r="N28" s="43">
        <v>1</v>
      </c>
      <c r="O28" s="43">
        <v>0.98</v>
      </c>
      <c r="P28" s="41">
        <v>2</v>
      </c>
      <c r="Q28" s="42">
        <v>21</v>
      </c>
      <c r="R28" s="38">
        <v>27</v>
      </c>
      <c r="S28" s="38">
        <v>4</v>
      </c>
      <c r="T28" s="38">
        <f t="shared" si="6"/>
        <v>20</v>
      </c>
      <c r="U28" s="38">
        <f t="shared" si="7"/>
        <v>29</v>
      </c>
      <c r="V28" s="38">
        <v>0</v>
      </c>
      <c r="W28" s="38">
        <v>100</v>
      </c>
      <c r="X28" s="38">
        <v>0</v>
      </c>
      <c r="Y28" s="38">
        <v>0</v>
      </c>
      <c r="Z28" s="54">
        <v>0.2</v>
      </c>
      <c r="AA28" s="45">
        <v>0.2</v>
      </c>
      <c r="AB28" s="43">
        <f t="shared" si="8"/>
        <v>0.2</v>
      </c>
      <c r="AC28" s="45">
        <v>0</v>
      </c>
      <c r="AD28" s="57">
        <v>1</v>
      </c>
      <c r="AE28" s="44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45">
        <v>0</v>
      </c>
      <c r="AM28" s="45">
        <v>0</v>
      </c>
      <c r="AN28" s="45">
        <v>0</v>
      </c>
      <c r="AO28" s="57">
        <v>0</v>
      </c>
      <c r="AP28" s="52">
        <v>0</v>
      </c>
      <c r="AQ28" s="48"/>
    </row>
    <row r="29" spans="1:43" x14ac:dyDescent="0.3">
      <c r="A29" s="30" t="s">
        <v>203</v>
      </c>
      <c r="B29" s="53" t="s">
        <v>149</v>
      </c>
      <c r="C29" s="32" t="str">
        <f>A29&amp;". "&amp;B29</f>
        <v>23. 전산실</v>
      </c>
      <c r="D29" s="34">
        <v>0</v>
      </c>
      <c r="E29" s="55" t="s">
        <v>126</v>
      </c>
      <c r="F29" s="35">
        <f t="shared" si="2"/>
        <v>24</v>
      </c>
      <c r="G29" s="36">
        <v>365</v>
      </c>
      <c r="H29" s="38"/>
      <c r="I29" s="35">
        <f t="shared" si="3"/>
        <v>24</v>
      </c>
      <c r="J29" s="38">
        <f t="shared" si="4"/>
        <v>365</v>
      </c>
      <c r="K29" s="39">
        <f t="shared" si="5"/>
        <v>17</v>
      </c>
      <c r="L29" s="42">
        <v>500</v>
      </c>
      <c r="M29" s="50">
        <v>0.8</v>
      </c>
      <c r="N29" s="43">
        <v>0.96</v>
      </c>
      <c r="O29" s="43">
        <v>0.5</v>
      </c>
      <c r="P29" s="41">
        <v>1</v>
      </c>
      <c r="Q29" s="42">
        <v>21</v>
      </c>
      <c r="R29" s="38">
        <v>24</v>
      </c>
      <c r="S29" s="38">
        <v>4</v>
      </c>
      <c r="T29" s="38">
        <f t="shared" si="6"/>
        <v>20</v>
      </c>
      <c r="U29" s="38">
        <f t="shared" si="7"/>
        <v>26</v>
      </c>
      <c r="V29" s="38">
        <v>0</v>
      </c>
      <c r="W29" s="38">
        <v>100</v>
      </c>
      <c r="X29" s="38">
        <v>35</v>
      </c>
      <c r="Y29" s="38">
        <v>65</v>
      </c>
      <c r="Z29" s="54">
        <v>1.3</v>
      </c>
      <c r="AA29" s="54">
        <v>1.3</v>
      </c>
      <c r="AB29" s="43">
        <f t="shared" si="8"/>
        <v>1.3</v>
      </c>
      <c r="AC29" s="45">
        <v>0</v>
      </c>
      <c r="AD29" s="57">
        <v>1</v>
      </c>
      <c r="AE29" s="44">
        <v>6</v>
      </c>
      <c r="AF29" s="45">
        <v>12</v>
      </c>
      <c r="AG29" s="45">
        <v>40</v>
      </c>
      <c r="AH29" s="45">
        <v>30</v>
      </c>
      <c r="AI29" s="45">
        <v>20</v>
      </c>
      <c r="AJ29" s="46">
        <v>1.8</v>
      </c>
      <c r="AK29" s="46">
        <v>2.2999999999999998</v>
      </c>
      <c r="AL29" s="46">
        <v>3.5</v>
      </c>
      <c r="AM29" s="46">
        <v>50</v>
      </c>
      <c r="AN29" s="46">
        <v>150</v>
      </c>
      <c r="AO29" s="47">
        <v>500</v>
      </c>
      <c r="AP29" s="52">
        <v>0.4</v>
      </c>
      <c r="AQ29" s="48">
        <v>1</v>
      </c>
    </row>
    <row r="30" spans="1:43" x14ac:dyDescent="0.3">
      <c r="A30" s="30" t="s">
        <v>204</v>
      </c>
      <c r="B30" s="53" t="s">
        <v>150</v>
      </c>
      <c r="C30" s="32" t="str">
        <f>A30&amp;". "&amp;B30</f>
        <v>24. 컴퓨터교육실</v>
      </c>
      <c r="D30" s="34">
        <v>0.375</v>
      </c>
      <c r="E30" s="49">
        <v>0.75</v>
      </c>
      <c r="F30" s="35">
        <f t="shared" si="2"/>
        <v>9</v>
      </c>
      <c r="G30" s="36">
        <v>249</v>
      </c>
      <c r="H30" s="38">
        <v>1</v>
      </c>
      <c r="I30" s="35">
        <f t="shared" si="3"/>
        <v>10</v>
      </c>
      <c r="J30" s="38">
        <f t="shared" si="4"/>
        <v>249</v>
      </c>
      <c r="K30" s="39">
        <f t="shared" si="5"/>
        <v>10</v>
      </c>
      <c r="L30" s="42">
        <v>300</v>
      </c>
      <c r="M30" s="50">
        <v>0.8</v>
      </c>
      <c r="N30" s="43">
        <v>0.97</v>
      </c>
      <c r="O30" s="43">
        <v>0.5</v>
      </c>
      <c r="P30" s="41">
        <v>1</v>
      </c>
      <c r="Q30" s="42">
        <v>21</v>
      </c>
      <c r="R30" s="38">
        <v>26</v>
      </c>
      <c r="S30" s="38">
        <v>4</v>
      </c>
      <c r="T30" s="38">
        <f t="shared" si="6"/>
        <v>20</v>
      </c>
      <c r="U30" s="38">
        <f t="shared" si="7"/>
        <v>28</v>
      </c>
      <c r="V30" s="38">
        <v>0</v>
      </c>
      <c r="W30" s="38">
        <v>100</v>
      </c>
      <c r="X30" s="38">
        <v>35</v>
      </c>
      <c r="Y30" s="38">
        <v>65</v>
      </c>
      <c r="Z30" s="54">
        <v>10</v>
      </c>
      <c r="AA30" s="54">
        <v>1.5</v>
      </c>
      <c r="AB30" s="43">
        <f t="shared" si="8"/>
        <v>4.9000000000000004</v>
      </c>
      <c r="AC30" s="56">
        <v>0.6</v>
      </c>
      <c r="AD30" s="58">
        <v>1</v>
      </c>
      <c r="AE30" s="44">
        <v>6</v>
      </c>
      <c r="AF30" s="45">
        <v>8</v>
      </c>
      <c r="AG30" s="45">
        <v>4.5999999999999996</v>
      </c>
      <c r="AH30" s="45">
        <v>4</v>
      </c>
      <c r="AI30" s="45">
        <v>3.7</v>
      </c>
      <c r="AJ30" s="46">
        <f>80/AG30</f>
        <v>17.39130434782609</v>
      </c>
      <c r="AK30" s="46">
        <f t="shared" ref="AK30:AL30" si="10">80/AH30</f>
        <v>20</v>
      </c>
      <c r="AL30" s="46">
        <f t="shared" si="10"/>
        <v>21.621621621621621</v>
      </c>
      <c r="AM30" s="46">
        <f>260/AG30</f>
        <v>56.521739130434788</v>
      </c>
      <c r="AN30" s="46">
        <f t="shared" ref="AN30:AO30" si="11">260/AH30</f>
        <v>65</v>
      </c>
      <c r="AO30" s="46">
        <f t="shared" si="11"/>
        <v>70.270270270270274</v>
      </c>
      <c r="AP30" s="52">
        <v>0.4</v>
      </c>
      <c r="AQ30" s="48"/>
    </row>
    <row r="31" spans="1:43" x14ac:dyDescent="0.3">
      <c r="A31" s="30" t="s">
        <v>205</v>
      </c>
      <c r="B31" s="53" t="s">
        <v>151</v>
      </c>
      <c r="C31" s="32" t="str">
        <f>A31&amp;". "&amp;B31</f>
        <v>25. 힘든 작업실</v>
      </c>
      <c r="D31" s="34">
        <v>0.29166666666666669</v>
      </c>
      <c r="E31" s="49">
        <v>0.66666666666666663</v>
      </c>
      <c r="F31" s="35">
        <f t="shared" si="2"/>
        <v>8.9999999999999982</v>
      </c>
      <c r="G31" s="36">
        <v>249</v>
      </c>
      <c r="H31" s="38"/>
      <c r="I31" s="35">
        <f t="shared" si="3"/>
        <v>9.9999999999999982</v>
      </c>
      <c r="J31" s="38">
        <f t="shared" si="4"/>
        <v>249</v>
      </c>
      <c r="K31" s="39">
        <f t="shared" si="5"/>
        <v>9.9999999999999982</v>
      </c>
      <c r="L31" s="42">
        <v>300</v>
      </c>
      <c r="M31" s="50">
        <v>0.8</v>
      </c>
      <c r="N31" s="43">
        <v>0.85</v>
      </c>
      <c r="O31" s="43">
        <v>0.1</v>
      </c>
      <c r="P31" s="41">
        <v>1</v>
      </c>
      <c r="Q31" s="42">
        <v>15</v>
      </c>
      <c r="R31" s="38">
        <v>24</v>
      </c>
      <c r="S31" s="38">
        <v>4</v>
      </c>
      <c r="T31" s="38">
        <v>15</v>
      </c>
      <c r="U31" s="38">
        <f t="shared" si="7"/>
        <v>26</v>
      </c>
      <c r="V31" s="38">
        <v>0</v>
      </c>
      <c r="W31" s="38">
        <v>100</v>
      </c>
      <c r="X31" s="38">
        <v>185</v>
      </c>
      <c r="Y31" s="38">
        <v>250</v>
      </c>
      <c r="Z31" s="54">
        <v>3.5</v>
      </c>
      <c r="AA31" s="54">
        <v>1.5</v>
      </c>
      <c r="AB31" s="43">
        <f t="shared" si="8"/>
        <v>3.5</v>
      </c>
      <c r="AC31" s="54">
        <v>0</v>
      </c>
      <c r="AD31" s="41">
        <v>1</v>
      </c>
      <c r="AE31" s="44">
        <v>8</v>
      </c>
      <c r="AF31" s="45">
        <v>8</v>
      </c>
      <c r="AG31" s="45">
        <v>25</v>
      </c>
      <c r="AH31" s="45">
        <v>20</v>
      </c>
      <c r="AI31" s="45">
        <v>15</v>
      </c>
      <c r="AJ31" s="46">
        <v>4.8</v>
      </c>
      <c r="AK31" s="46">
        <v>6</v>
      </c>
      <c r="AL31" s="46">
        <v>8</v>
      </c>
      <c r="AM31" s="46">
        <v>25</v>
      </c>
      <c r="AN31" s="46">
        <v>35</v>
      </c>
      <c r="AO31" s="47">
        <v>45</v>
      </c>
      <c r="AP31" s="42">
        <v>1.8</v>
      </c>
      <c r="AQ31" s="48">
        <v>3</v>
      </c>
    </row>
    <row r="32" spans="1:43" x14ac:dyDescent="0.3">
      <c r="A32" s="30" t="s">
        <v>206</v>
      </c>
      <c r="B32" s="53" t="s">
        <v>152</v>
      </c>
      <c r="C32" s="32" t="str">
        <f>A32&amp;". "&amp;B32</f>
        <v>26. 다소 힘든 작업실</v>
      </c>
      <c r="D32" s="34">
        <v>0.29166666666666669</v>
      </c>
      <c r="E32" s="49">
        <v>0.66666666666666663</v>
      </c>
      <c r="F32" s="35">
        <f t="shared" si="2"/>
        <v>8.9999999999999982</v>
      </c>
      <c r="G32" s="36">
        <v>249</v>
      </c>
      <c r="H32" s="38"/>
      <c r="I32" s="35">
        <f t="shared" si="3"/>
        <v>9.9999999999999982</v>
      </c>
      <c r="J32" s="38">
        <f t="shared" si="4"/>
        <v>249</v>
      </c>
      <c r="K32" s="39">
        <f t="shared" si="5"/>
        <v>9.9999999999999982</v>
      </c>
      <c r="L32" s="42">
        <v>400</v>
      </c>
      <c r="M32" s="50">
        <v>0.8</v>
      </c>
      <c r="N32" s="43">
        <v>0.85</v>
      </c>
      <c r="O32" s="43">
        <v>0.1</v>
      </c>
      <c r="P32" s="41">
        <v>1</v>
      </c>
      <c r="Q32" s="42">
        <v>17</v>
      </c>
      <c r="R32" s="38">
        <v>26</v>
      </c>
      <c r="S32" s="38">
        <v>4</v>
      </c>
      <c r="T32" s="38">
        <v>15</v>
      </c>
      <c r="U32" s="38">
        <f t="shared" si="7"/>
        <v>28</v>
      </c>
      <c r="V32" s="38">
        <v>0</v>
      </c>
      <c r="W32" s="38">
        <v>100</v>
      </c>
      <c r="X32" s="38">
        <v>110</v>
      </c>
      <c r="Y32" s="38">
        <v>150</v>
      </c>
      <c r="Z32" s="54">
        <v>2.5</v>
      </c>
      <c r="AA32" s="54">
        <v>1.5</v>
      </c>
      <c r="AB32" s="43">
        <f t="shared" si="8"/>
        <v>2.5</v>
      </c>
      <c r="AC32" s="54">
        <v>0</v>
      </c>
      <c r="AD32" s="41">
        <v>1</v>
      </c>
      <c r="AE32" s="44">
        <v>8</v>
      </c>
      <c r="AF32" s="45">
        <v>8</v>
      </c>
      <c r="AG32" s="45">
        <v>25</v>
      </c>
      <c r="AH32" s="45">
        <v>20</v>
      </c>
      <c r="AI32" s="45">
        <v>15</v>
      </c>
      <c r="AJ32" s="46">
        <v>4.8</v>
      </c>
      <c r="AK32" s="46">
        <v>5</v>
      </c>
      <c r="AL32" s="46">
        <v>6.7</v>
      </c>
      <c r="AM32" s="46">
        <v>25</v>
      </c>
      <c r="AN32" s="46">
        <v>35</v>
      </c>
      <c r="AO32" s="47">
        <v>45</v>
      </c>
      <c r="AP32" s="52">
        <v>1.8</v>
      </c>
      <c r="AQ32" s="48">
        <v>3</v>
      </c>
    </row>
    <row r="33" spans="1:43" x14ac:dyDescent="0.3">
      <c r="A33" s="30" t="s">
        <v>207</v>
      </c>
      <c r="B33" s="53" t="s">
        <v>153</v>
      </c>
      <c r="C33" s="32" t="str">
        <f>A33&amp;". "&amp;B33</f>
        <v>27. 일반 작업실</v>
      </c>
      <c r="D33" s="34">
        <v>0.29166666666666669</v>
      </c>
      <c r="E33" s="49">
        <v>0.66666666666666663</v>
      </c>
      <c r="F33" s="35">
        <f t="shared" si="2"/>
        <v>8.9999999999999982</v>
      </c>
      <c r="G33" s="36">
        <v>249</v>
      </c>
      <c r="H33" s="38"/>
      <c r="I33" s="35">
        <f t="shared" si="3"/>
        <v>9.9999999999999982</v>
      </c>
      <c r="J33" s="38">
        <f t="shared" si="4"/>
        <v>249</v>
      </c>
      <c r="K33" s="39">
        <f t="shared" si="5"/>
        <v>9.9999999999999982</v>
      </c>
      <c r="L33" s="42">
        <v>500</v>
      </c>
      <c r="M33" s="50">
        <v>0.8</v>
      </c>
      <c r="N33" s="43">
        <v>0.85</v>
      </c>
      <c r="O33" s="43">
        <v>0.1</v>
      </c>
      <c r="P33" s="41">
        <v>1</v>
      </c>
      <c r="Q33" s="42">
        <v>20</v>
      </c>
      <c r="R33" s="38">
        <v>28</v>
      </c>
      <c r="S33" s="38">
        <v>4</v>
      </c>
      <c r="T33" s="38">
        <v>18</v>
      </c>
      <c r="U33" s="38">
        <f t="shared" si="7"/>
        <v>30</v>
      </c>
      <c r="V33" s="38">
        <v>0</v>
      </c>
      <c r="W33" s="38">
        <v>100</v>
      </c>
      <c r="X33" s="38">
        <v>35</v>
      </c>
      <c r="Y33" s="38">
        <v>65</v>
      </c>
      <c r="Z33" s="54">
        <v>1.5</v>
      </c>
      <c r="AA33" s="54">
        <v>1.5</v>
      </c>
      <c r="AB33" s="43">
        <f t="shared" si="8"/>
        <v>1.5</v>
      </c>
      <c r="AC33" s="54">
        <v>0</v>
      </c>
      <c r="AD33" s="41">
        <v>1</v>
      </c>
      <c r="AE33" s="44">
        <v>8</v>
      </c>
      <c r="AF33" s="45">
        <v>8</v>
      </c>
      <c r="AG33" s="45">
        <v>25</v>
      </c>
      <c r="AH33" s="45">
        <v>20</v>
      </c>
      <c r="AI33" s="45">
        <v>15</v>
      </c>
      <c r="AJ33" s="46">
        <v>3.2</v>
      </c>
      <c r="AK33" s="46">
        <v>4</v>
      </c>
      <c r="AL33" s="46">
        <v>5.3</v>
      </c>
      <c r="AM33" s="46">
        <v>25</v>
      </c>
      <c r="AN33" s="46">
        <v>35</v>
      </c>
      <c r="AO33" s="47">
        <v>45</v>
      </c>
      <c r="AP33" s="42">
        <v>1.8</v>
      </c>
      <c r="AQ33" s="48">
        <v>3</v>
      </c>
    </row>
    <row r="34" spans="1:43" x14ac:dyDescent="0.3">
      <c r="A34" s="30" t="s">
        <v>208</v>
      </c>
      <c r="B34" s="53" t="s">
        <v>154</v>
      </c>
      <c r="C34" s="32" t="str">
        <f>A34&amp;". "&amp;B34</f>
        <v>28. 객석</v>
      </c>
      <c r="D34" s="34">
        <v>0.79166666666666663</v>
      </c>
      <c r="E34" s="49">
        <v>0.95833333333333337</v>
      </c>
      <c r="F34" s="35">
        <f t="shared" si="2"/>
        <v>4.0000000000000018</v>
      </c>
      <c r="G34" s="36">
        <v>249</v>
      </c>
      <c r="H34" s="38"/>
      <c r="I34" s="35">
        <f t="shared" si="3"/>
        <v>5.0000000000000018</v>
      </c>
      <c r="J34" s="38">
        <f t="shared" si="4"/>
        <v>249</v>
      </c>
      <c r="K34" s="39">
        <f t="shared" si="5"/>
        <v>5.0000000000000018</v>
      </c>
      <c r="L34" s="42">
        <v>200</v>
      </c>
      <c r="M34" s="50">
        <v>0.8</v>
      </c>
      <c r="N34" s="43">
        <v>0.97</v>
      </c>
      <c r="O34" s="43">
        <v>0</v>
      </c>
      <c r="P34" s="41">
        <v>1</v>
      </c>
      <c r="Q34" s="42">
        <v>21</v>
      </c>
      <c r="R34" s="38">
        <v>26</v>
      </c>
      <c r="S34" s="38">
        <v>4</v>
      </c>
      <c r="T34" s="38">
        <f t="shared" si="6"/>
        <v>20</v>
      </c>
      <c r="U34" s="38">
        <f t="shared" si="7"/>
        <v>28</v>
      </c>
      <c r="V34" s="38">
        <v>25</v>
      </c>
      <c r="W34" s="38">
        <v>60</v>
      </c>
      <c r="X34" s="38">
        <v>35</v>
      </c>
      <c r="Y34" s="38">
        <v>65</v>
      </c>
      <c r="Z34" s="54">
        <v>40</v>
      </c>
      <c r="AA34" s="54">
        <v>1.5</v>
      </c>
      <c r="AB34" s="43">
        <f t="shared" si="8"/>
        <v>13.05</v>
      </c>
      <c r="AC34" s="50">
        <v>0.7</v>
      </c>
      <c r="AD34" s="41">
        <v>1</v>
      </c>
      <c r="AE34" s="44">
        <v>2</v>
      </c>
      <c r="AF34" s="45">
        <v>0</v>
      </c>
      <c r="AG34" s="45">
        <v>1.5</v>
      </c>
      <c r="AH34" s="45">
        <v>0.75</v>
      </c>
      <c r="AI34" s="45">
        <v>0.5</v>
      </c>
      <c r="AJ34" s="46">
        <v>47</v>
      </c>
      <c r="AK34" s="46">
        <v>93</v>
      </c>
      <c r="AL34" s="46">
        <v>140</v>
      </c>
      <c r="AM34" s="45">
        <v>0</v>
      </c>
      <c r="AN34" s="45">
        <v>0</v>
      </c>
      <c r="AO34" s="57">
        <v>0</v>
      </c>
      <c r="AP34" s="52">
        <v>0</v>
      </c>
      <c r="AQ34" s="48"/>
    </row>
    <row r="35" spans="1:43" x14ac:dyDescent="0.3">
      <c r="A35" s="30" t="s">
        <v>209</v>
      </c>
      <c r="B35" s="53" t="s">
        <v>155</v>
      </c>
      <c r="C35" s="32" t="str">
        <f>A35&amp;". "&amp;B35</f>
        <v>29. 공연장 무대</v>
      </c>
      <c r="D35" s="34">
        <v>0.54166666666666663</v>
      </c>
      <c r="E35" s="49">
        <v>0.95833333333333337</v>
      </c>
      <c r="F35" s="35">
        <f t="shared" si="2"/>
        <v>10.000000000000002</v>
      </c>
      <c r="G35" s="36">
        <v>249</v>
      </c>
      <c r="H35" s="38"/>
      <c r="I35" s="35">
        <f t="shared" si="3"/>
        <v>11.000000000000002</v>
      </c>
      <c r="J35" s="38">
        <f t="shared" si="4"/>
        <v>249</v>
      </c>
      <c r="K35" s="39">
        <f t="shared" si="5"/>
        <v>11.000000000000002</v>
      </c>
      <c r="L35" s="42">
        <v>1000</v>
      </c>
      <c r="M35" s="50">
        <v>0</v>
      </c>
      <c r="N35" s="43">
        <v>0.9</v>
      </c>
      <c r="O35" s="43">
        <v>0</v>
      </c>
      <c r="P35" s="41">
        <v>1</v>
      </c>
      <c r="Q35" s="42">
        <v>21</v>
      </c>
      <c r="R35" s="38">
        <v>26</v>
      </c>
      <c r="S35" s="38">
        <v>4</v>
      </c>
      <c r="T35" s="38">
        <f t="shared" si="6"/>
        <v>20</v>
      </c>
      <c r="U35" s="38">
        <f t="shared" si="7"/>
        <v>28</v>
      </c>
      <c r="V35" s="38">
        <v>25</v>
      </c>
      <c r="W35" s="38">
        <v>60</v>
      </c>
      <c r="X35" s="38">
        <v>0</v>
      </c>
      <c r="Y35" s="38">
        <v>0</v>
      </c>
      <c r="Z35" s="54">
        <v>0.3</v>
      </c>
      <c r="AA35" s="59">
        <v>0</v>
      </c>
      <c r="AB35" s="43">
        <f t="shared" si="8"/>
        <v>0.3</v>
      </c>
      <c r="AC35" s="45">
        <v>0</v>
      </c>
      <c r="AD35" s="57">
        <v>1</v>
      </c>
      <c r="AE35" s="44">
        <v>0</v>
      </c>
      <c r="AF35" s="45">
        <v>0</v>
      </c>
      <c r="AG35" s="45">
        <v>0</v>
      </c>
      <c r="AH35" s="45">
        <v>0</v>
      </c>
      <c r="AI35" s="45">
        <v>0</v>
      </c>
      <c r="AJ35" s="45">
        <v>0</v>
      </c>
      <c r="AK35" s="45">
        <v>0</v>
      </c>
      <c r="AL35" s="45">
        <v>0</v>
      </c>
      <c r="AM35" s="45">
        <v>0</v>
      </c>
      <c r="AN35" s="45">
        <v>0</v>
      </c>
      <c r="AO35" s="57">
        <v>0</v>
      </c>
      <c r="AP35" s="42">
        <v>0</v>
      </c>
      <c r="AQ35" s="48"/>
    </row>
    <row r="36" spans="1:43" x14ac:dyDescent="0.3">
      <c r="A36" s="30" t="s">
        <v>210</v>
      </c>
      <c r="B36" s="31" t="s">
        <v>156</v>
      </c>
      <c r="C36" s="32" t="str">
        <f>A36&amp;". "&amp;B36</f>
        <v>30. 박람회 및 의회실</v>
      </c>
      <c r="D36" s="34">
        <v>0.375</v>
      </c>
      <c r="E36" s="49">
        <v>0.75</v>
      </c>
      <c r="F36" s="35">
        <f t="shared" si="2"/>
        <v>9</v>
      </c>
      <c r="G36" s="36">
        <v>150</v>
      </c>
      <c r="H36" s="38"/>
      <c r="I36" s="35">
        <f t="shared" si="3"/>
        <v>10</v>
      </c>
      <c r="J36" s="38">
        <f t="shared" si="4"/>
        <v>150</v>
      </c>
      <c r="K36" s="39">
        <f t="shared" si="5"/>
        <v>10</v>
      </c>
      <c r="L36" s="42">
        <v>300</v>
      </c>
      <c r="M36" s="50">
        <v>0.8</v>
      </c>
      <c r="N36" s="43">
        <v>0.93</v>
      </c>
      <c r="O36" s="43">
        <v>0.5</v>
      </c>
      <c r="P36" s="41">
        <v>1</v>
      </c>
      <c r="Q36" s="42">
        <v>21</v>
      </c>
      <c r="R36" s="38">
        <v>26</v>
      </c>
      <c r="S36" s="38">
        <v>4</v>
      </c>
      <c r="T36" s="38">
        <f t="shared" si="6"/>
        <v>20</v>
      </c>
      <c r="U36" s="38">
        <f t="shared" si="7"/>
        <v>28</v>
      </c>
      <c r="V36" s="38">
        <v>25</v>
      </c>
      <c r="W36" s="38">
        <v>60</v>
      </c>
      <c r="X36" s="38">
        <v>35</v>
      </c>
      <c r="Y36" s="38">
        <v>65</v>
      </c>
      <c r="Z36" s="54">
        <v>7</v>
      </c>
      <c r="AA36" s="54">
        <v>1.5</v>
      </c>
      <c r="AB36" s="43">
        <f t="shared" si="8"/>
        <v>3.1500000000000004</v>
      </c>
      <c r="AC36" s="50">
        <v>0.7</v>
      </c>
      <c r="AD36" s="41">
        <v>1</v>
      </c>
      <c r="AE36" s="44">
        <v>6</v>
      </c>
      <c r="AF36" s="45">
        <v>6</v>
      </c>
      <c r="AG36" s="45">
        <v>6</v>
      </c>
      <c r="AH36" s="45">
        <v>3</v>
      </c>
      <c r="AI36" s="45">
        <v>2</v>
      </c>
      <c r="AJ36" s="46">
        <v>11.7</v>
      </c>
      <c r="AK36" s="46">
        <v>23.3</v>
      </c>
      <c r="AL36" s="46">
        <v>35</v>
      </c>
      <c r="AM36" s="46">
        <v>1</v>
      </c>
      <c r="AN36" s="46">
        <v>2</v>
      </c>
      <c r="AO36" s="47">
        <v>3</v>
      </c>
      <c r="AP36" s="52">
        <v>0</v>
      </c>
      <c r="AQ36" s="48"/>
    </row>
    <row r="37" spans="1:43" x14ac:dyDescent="0.3">
      <c r="A37" s="30" t="s">
        <v>211</v>
      </c>
      <c r="B37" s="31" t="s">
        <v>157</v>
      </c>
      <c r="C37" s="32" t="str">
        <f>A37&amp;". "&amp;B37</f>
        <v>31. 전시실 및 박물관</v>
      </c>
      <c r="D37" s="34">
        <v>0.41666666666666669</v>
      </c>
      <c r="E37" s="49">
        <v>0.75</v>
      </c>
      <c r="F37" s="35">
        <f t="shared" si="2"/>
        <v>8</v>
      </c>
      <c r="G37" s="36">
        <v>249</v>
      </c>
      <c r="H37" s="38"/>
      <c r="I37" s="35">
        <f t="shared" si="3"/>
        <v>9</v>
      </c>
      <c r="J37" s="38">
        <f t="shared" si="4"/>
        <v>249</v>
      </c>
      <c r="K37" s="39">
        <f t="shared" si="5"/>
        <v>9</v>
      </c>
      <c r="L37" s="42">
        <v>200</v>
      </c>
      <c r="M37" s="50">
        <v>0.8</v>
      </c>
      <c r="N37" s="43">
        <v>0.88</v>
      </c>
      <c r="O37" s="43">
        <v>0</v>
      </c>
      <c r="P37" s="41">
        <v>1</v>
      </c>
      <c r="Q37" s="42">
        <v>21</v>
      </c>
      <c r="R37" s="38">
        <v>26</v>
      </c>
      <c r="S37" s="38">
        <v>4</v>
      </c>
      <c r="T37" s="38">
        <f t="shared" si="6"/>
        <v>20</v>
      </c>
      <c r="U37" s="38">
        <f t="shared" si="7"/>
        <v>28</v>
      </c>
      <c r="V37" s="38">
        <v>25</v>
      </c>
      <c r="W37" s="38">
        <v>60</v>
      </c>
      <c r="X37" s="38">
        <v>35</v>
      </c>
      <c r="Y37" s="38">
        <v>65</v>
      </c>
      <c r="Z37" s="54">
        <v>2</v>
      </c>
      <c r="AA37" s="54">
        <v>1.5</v>
      </c>
      <c r="AB37" s="43">
        <f t="shared" si="8"/>
        <v>1.75</v>
      </c>
      <c r="AC37" s="50">
        <v>0.5</v>
      </c>
      <c r="AD37" s="41">
        <v>1</v>
      </c>
      <c r="AE37" s="44">
        <v>4</v>
      </c>
      <c r="AF37" s="45">
        <v>0</v>
      </c>
      <c r="AG37" s="45">
        <v>20</v>
      </c>
      <c r="AH37" s="45">
        <v>10</v>
      </c>
      <c r="AI37" s="45">
        <v>5</v>
      </c>
      <c r="AJ37" s="46">
        <v>3.5</v>
      </c>
      <c r="AK37" s="46">
        <v>7</v>
      </c>
      <c r="AL37" s="46">
        <v>14</v>
      </c>
      <c r="AM37" s="45">
        <v>0</v>
      </c>
      <c r="AN37" s="45">
        <v>0</v>
      </c>
      <c r="AO37" s="57">
        <v>0</v>
      </c>
      <c r="AP37" s="52">
        <v>0</v>
      </c>
      <c r="AQ37" s="48"/>
    </row>
    <row r="38" spans="1:43" x14ac:dyDescent="0.3">
      <c r="A38" s="30" t="s">
        <v>212</v>
      </c>
      <c r="B38" s="31" t="s">
        <v>158</v>
      </c>
      <c r="C38" s="32" t="str">
        <f>A38&amp;". "&amp;B38</f>
        <v>32. 열람실(도서관)</v>
      </c>
      <c r="D38" s="34">
        <v>0.33333333333333331</v>
      </c>
      <c r="E38" s="49">
        <v>0.83333333333333337</v>
      </c>
      <c r="F38" s="35">
        <f t="shared" si="2"/>
        <v>12</v>
      </c>
      <c r="G38" s="36">
        <v>299</v>
      </c>
      <c r="H38" s="38"/>
      <c r="I38" s="35">
        <f t="shared" si="3"/>
        <v>13</v>
      </c>
      <c r="J38" s="38">
        <f t="shared" si="4"/>
        <v>299</v>
      </c>
      <c r="K38" s="39">
        <f t="shared" si="5"/>
        <v>13</v>
      </c>
      <c r="L38" s="42">
        <v>500</v>
      </c>
      <c r="M38" s="50">
        <v>0.8</v>
      </c>
      <c r="N38" s="43">
        <v>0.88</v>
      </c>
      <c r="O38" s="43">
        <v>0</v>
      </c>
      <c r="P38" s="41">
        <v>1</v>
      </c>
      <c r="Q38" s="42">
        <v>21</v>
      </c>
      <c r="R38" s="38">
        <v>26</v>
      </c>
      <c r="S38" s="38">
        <v>4</v>
      </c>
      <c r="T38" s="38">
        <f t="shared" si="6"/>
        <v>20</v>
      </c>
      <c r="U38" s="38">
        <f t="shared" si="7"/>
        <v>28</v>
      </c>
      <c r="V38" s="38">
        <v>25</v>
      </c>
      <c r="W38" s="38">
        <v>60</v>
      </c>
      <c r="X38" s="38">
        <v>35</v>
      </c>
      <c r="Y38" s="38">
        <v>65</v>
      </c>
      <c r="Z38" s="54">
        <v>8</v>
      </c>
      <c r="AA38" s="54">
        <v>1.5</v>
      </c>
      <c r="AB38" s="43">
        <f t="shared" si="8"/>
        <v>4.75</v>
      </c>
      <c r="AC38" s="50">
        <v>0.5</v>
      </c>
      <c r="AD38" s="41">
        <v>1</v>
      </c>
      <c r="AE38" s="44">
        <v>6</v>
      </c>
      <c r="AF38" s="45">
        <v>0</v>
      </c>
      <c r="AG38" s="45">
        <v>5</v>
      </c>
      <c r="AH38" s="45">
        <v>2.5</v>
      </c>
      <c r="AI38" s="45">
        <v>1.5</v>
      </c>
      <c r="AJ38" s="46">
        <v>14</v>
      </c>
      <c r="AK38" s="46">
        <v>28</v>
      </c>
      <c r="AL38" s="46">
        <v>46.7</v>
      </c>
      <c r="AM38" s="45">
        <v>0</v>
      </c>
      <c r="AN38" s="45">
        <v>0</v>
      </c>
      <c r="AO38" s="57">
        <v>0</v>
      </c>
      <c r="AP38" s="52">
        <v>0.4</v>
      </c>
      <c r="AQ38" s="48"/>
    </row>
    <row r="39" spans="1:43" x14ac:dyDescent="0.3">
      <c r="A39" s="30" t="s">
        <v>213</v>
      </c>
      <c r="B39" s="31" t="s">
        <v>159</v>
      </c>
      <c r="C39" s="32" t="str">
        <f>A39&amp;". "&amp;B39</f>
        <v>33. 체육관</v>
      </c>
      <c r="D39" s="34">
        <v>0.33333333333333331</v>
      </c>
      <c r="E39" s="49">
        <v>0.95833333333333337</v>
      </c>
      <c r="F39" s="35">
        <f t="shared" si="2"/>
        <v>15</v>
      </c>
      <c r="G39" s="36">
        <v>249</v>
      </c>
      <c r="H39" s="38"/>
      <c r="I39" s="35">
        <f t="shared" si="3"/>
        <v>16</v>
      </c>
      <c r="J39" s="38">
        <f t="shared" si="4"/>
        <v>249</v>
      </c>
      <c r="K39" s="39">
        <f t="shared" si="5"/>
        <v>16</v>
      </c>
      <c r="L39" s="42">
        <v>300</v>
      </c>
      <c r="M39" s="50">
        <v>1</v>
      </c>
      <c r="N39" s="43">
        <v>1</v>
      </c>
      <c r="O39" s="43">
        <v>0.3</v>
      </c>
      <c r="P39" s="41">
        <v>1</v>
      </c>
      <c r="Q39" s="42">
        <v>19</v>
      </c>
      <c r="R39" s="38">
        <v>24</v>
      </c>
      <c r="S39" s="38">
        <v>4</v>
      </c>
      <c r="T39" s="38">
        <f t="shared" si="6"/>
        <v>19</v>
      </c>
      <c r="U39" s="38">
        <f t="shared" si="7"/>
        <v>26</v>
      </c>
      <c r="V39" s="38">
        <v>25</v>
      </c>
      <c r="W39" s="38">
        <v>60</v>
      </c>
      <c r="X39" s="38">
        <v>110</v>
      </c>
      <c r="Y39" s="38">
        <v>150</v>
      </c>
      <c r="Z39" s="54">
        <v>3</v>
      </c>
      <c r="AA39" s="54">
        <v>1.5</v>
      </c>
      <c r="AB39" s="43">
        <f t="shared" si="8"/>
        <v>2.25</v>
      </c>
      <c r="AC39" s="50">
        <v>0.5</v>
      </c>
      <c r="AD39" s="41">
        <v>0.9</v>
      </c>
      <c r="AE39" s="44">
        <v>10</v>
      </c>
      <c r="AF39" s="45">
        <v>0</v>
      </c>
      <c r="AG39" s="45">
        <v>30</v>
      </c>
      <c r="AH39" s="45">
        <v>20</v>
      </c>
      <c r="AI39" s="45">
        <v>10</v>
      </c>
      <c r="AJ39" s="46">
        <v>4.2</v>
      </c>
      <c r="AK39" s="46">
        <v>6.3</v>
      </c>
      <c r="AL39" s="46">
        <v>12.5</v>
      </c>
      <c r="AM39" s="45">
        <v>0</v>
      </c>
      <c r="AN39" s="45">
        <v>0</v>
      </c>
      <c r="AO39" s="57">
        <v>0</v>
      </c>
      <c r="AP39" s="52">
        <v>1.5</v>
      </c>
      <c r="AQ39" s="48"/>
    </row>
    <row r="40" spans="1:43" x14ac:dyDescent="0.3">
      <c r="A40" s="30" t="s">
        <v>214</v>
      </c>
      <c r="B40" s="31" t="s">
        <v>160</v>
      </c>
      <c r="C40" s="32" t="str">
        <f>A40&amp;". "&amp;B40</f>
        <v>34. 주차장1 (사무실, 개인)</v>
      </c>
      <c r="D40" s="34">
        <v>0.29166666666666669</v>
      </c>
      <c r="E40" s="49">
        <v>0.75</v>
      </c>
      <c r="F40" s="35">
        <f t="shared" si="2"/>
        <v>11</v>
      </c>
      <c r="G40" s="36">
        <v>249</v>
      </c>
      <c r="H40" s="38"/>
      <c r="I40" s="35">
        <f t="shared" si="3"/>
        <v>12</v>
      </c>
      <c r="J40" s="38">
        <f t="shared" si="4"/>
        <v>249</v>
      </c>
      <c r="K40" s="39">
        <f t="shared" si="5"/>
        <v>12</v>
      </c>
      <c r="L40" s="42">
        <v>75</v>
      </c>
      <c r="M40" s="50">
        <v>0.2</v>
      </c>
      <c r="N40" s="43">
        <v>1</v>
      </c>
      <c r="O40" s="43">
        <v>0.95</v>
      </c>
      <c r="P40" s="41">
        <v>1</v>
      </c>
      <c r="Q40" s="42">
        <v>21</v>
      </c>
      <c r="R40" s="38">
        <v>27</v>
      </c>
      <c r="S40" s="38">
        <v>4</v>
      </c>
      <c r="T40" s="38">
        <f t="shared" si="6"/>
        <v>20</v>
      </c>
      <c r="U40" s="38">
        <f t="shared" si="7"/>
        <v>29</v>
      </c>
      <c r="V40" s="38">
        <v>0</v>
      </c>
      <c r="W40" s="38">
        <v>100</v>
      </c>
      <c r="X40" s="38">
        <v>0</v>
      </c>
      <c r="Y40" s="38">
        <v>0</v>
      </c>
      <c r="Z40" s="54">
        <v>8</v>
      </c>
      <c r="AA40" s="56">
        <v>0.2</v>
      </c>
      <c r="AB40" s="43">
        <f t="shared" si="8"/>
        <v>8</v>
      </c>
      <c r="AC40" s="45">
        <v>0</v>
      </c>
      <c r="AD40" s="57">
        <v>1</v>
      </c>
      <c r="AE40" s="44">
        <v>0</v>
      </c>
      <c r="AF40" s="45">
        <v>0</v>
      </c>
      <c r="AG40" s="45">
        <v>0</v>
      </c>
      <c r="AH40" s="45">
        <v>0</v>
      </c>
      <c r="AI40" s="45">
        <v>0</v>
      </c>
      <c r="AJ40" s="45">
        <v>0</v>
      </c>
      <c r="AK40" s="45">
        <v>0</v>
      </c>
      <c r="AL40" s="45">
        <v>0</v>
      </c>
      <c r="AM40" s="45">
        <v>0</v>
      </c>
      <c r="AN40" s="45">
        <v>0</v>
      </c>
      <c r="AO40" s="57">
        <v>0</v>
      </c>
      <c r="AP40" s="42">
        <v>0</v>
      </c>
      <c r="AQ40" s="48"/>
    </row>
    <row r="41" spans="1:43" x14ac:dyDescent="0.3">
      <c r="A41" s="30" t="s">
        <v>215</v>
      </c>
      <c r="B41" s="31" t="s">
        <v>161</v>
      </c>
      <c r="C41" s="32" t="str">
        <f>A41&amp;". "&amp;B41</f>
        <v>35. 주차장2 (공공)</v>
      </c>
      <c r="D41" s="34">
        <v>0.375</v>
      </c>
      <c r="E41" s="55" t="s">
        <v>162</v>
      </c>
      <c r="F41" s="35">
        <f t="shared" si="2"/>
        <v>15</v>
      </c>
      <c r="G41" s="36">
        <v>365</v>
      </c>
      <c r="H41" s="38"/>
      <c r="I41" s="35">
        <f t="shared" si="3"/>
        <v>16</v>
      </c>
      <c r="J41" s="38">
        <f t="shared" si="4"/>
        <v>365</v>
      </c>
      <c r="K41" s="39">
        <f t="shared" si="5"/>
        <v>16</v>
      </c>
      <c r="L41" s="42">
        <v>75</v>
      </c>
      <c r="M41" s="50">
        <v>0.2</v>
      </c>
      <c r="N41" s="43">
        <v>1</v>
      </c>
      <c r="O41" s="43">
        <v>0.8</v>
      </c>
      <c r="P41" s="41">
        <v>1</v>
      </c>
      <c r="Q41" s="42">
        <v>21</v>
      </c>
      <c r="R41" s="38">
        <v>27</v>
      </c>
      <c r="S41" s="38">
        <v>4</v>
      </c>
      <c r="T41" s="38">
        <f t="shared" si="6"/>
        <v>20</v>
      </c>
      <c r="U41" s="38">
        <f t="shared" si="7"/>
        <v>29</v>
      </c>
      <c r="V41" s="38">
        <v>0</v>
      </c>
      <c r="W41" s="38">
        <v>100</v>
      </c>
      <c r="X41" s="38">
        <v>0</v>
      </c>
      <c r="Y41" s="38">
        <v>0</v>
      </c>
      <c r="Z41" s="54">
        <v>8</v>
      </c>
      <c r="AA41" s="56">
        <v>0.2</v>
      </c>
      <c r="AB41" s="43">
        <f t="shared" si="8"/>
        <v>8</v>
      </c>
      <c r="AC41" s="45">
        <v>0</v>
      </c>
      <c r="AD41" s="57">
        <v>1</v>
      </c>
      <c r="AE41" s="44">
        <v>0</v>
      </c>
      <c r="AF41" s="45">
        <v>0</v>
      </c>
      <c r="AG41" s="45">
        <v>0</v>
      </c>
      <c r="AH41" s="45">
        <v>0</v>
      </c>
      <c r="AI41" s="45">
        <v>0</v>
      </c>
      <c r="AJ41" s="45">
        <v>0</v>
      </c>
      <c r="AK41" s="45">
        <v>0</v>
      </c>
      <c r="AL41" s="45">
        <v>0</v>
      </c>
      <c r="AM41" s="45">
        <v>0</v>
      </c>
      <c r="AN41" s="45">
        <v>0</v>
      </c>
      <c r="AO41" s="57">
        <v>0</v>
      </c>
      <c r="AP41" s="42">
        <v>0</v>
      </c>
      <c r="AQ41" s="48"/>
    </row>
    <row r="42" spans="1:43" x14ac:dyDescent="0.3">
      <c r="A42" s="30" t="s">
        <v>216</v>
      </c>
      <c r="B42" s="31" t="s">
        <v>163</v>
      </c>
      <c r="C42" s="32" t="str">
        <f>A42&amp;". "&amp;B42</f>
        <v>36. 사우나 (15m2미만 욕조)</v>
      </c>
      <c r="D42" s="34">
        <v>0.41666666666666669</v>
      </c>
      <c r="E42" s="49">
        <v>0.91666666666666663</v>
      </c>
      <c r="F42" s="35">
        <f t="shared" si="2"/>
        <v>11.999999999999998</v>
      </c>
      <c r="G42" s="36">
        <v>299</v>
      </c>
      <c r="H42" s="38"/>
      <c r="I42" s="35">
        <f t="shared" si="3"/>
        <v>12.999999999999998</v>
      </c>
      <c r="J42" s="38">
        <f t="shared" si="4"/>
        <v>299</v>
      </c>
      <c r="K42" s="39">
        <f t="shared" si="5"/>
        <v>12.999999999999998</v>
      </c>
      <c r="L42" s="42">
        <v>200</v>
      </c>
      <c r="M42" s="50">
        <v>0</v>
      </c>
      <c r="N42" s="43">
        <v>1</v>
      </c>
      <c r="O42" s="43">
        <v>0</v>
      </c>
      <c r="P42" s="41">
        <v>1</v>
      </c>
      <c r="Q42" s="42">
        <v>24</v>
      </c>
      <c r="R42" s="56">
        <v>28</v>
      </c>
      <c r="S42" s="38">
        <v>4</v>
      </c>
      <c r="T42" s="38">
        <f t="shared" si="6"/>
        <v>23</v>
      </c>
      <c r="U42" s="38">
        <f t="shared" si="7"/>
        <v>30</v>
      </c>
      <c r="V42" s="38">
        <v>25</v>
      </c>
      <c r="W42" s="38">
        <v>60</v>
      </c>
      <c r="X42" s="38">
        <v>35</v>
      </c>
      <c r="Y42" s="38">
        <v>65</v>
      </c>
      <c r="Z42" s="54">
        <v>15</v>
      </c>
      <c r="AA42" s="56">
        <v>1.5</v>
      </c>
      <c r="AB42" s="43">
        <f t="shared" si="8"/>
        <v>8.25</v>
      </c>
      <c r="AC42" s="50">
        <v>0.5</v>
      </c>
      <c r="AD42" s="41">
        <v>0.9</v>
      </c>
      <c r="AE42" s="44">
        <v>10</v>
      </c>
      <c r="AF42" s="45">
        <v>10</v>
      </c>
      <c r="AG42" s="45">
        <v>18</v>
      </c>
      <c r="AH42" s="45">
        <v>12</v>
      </c>
      <c r="AI42" s="45">
        <v>6</v>
      </c>
      <c r="AJ42" s="46">
        <v>3.9</v>
      </c>
      <c r="AK42" s="46">
        <v>5.8</v>
      </c>
      <c r="AL42" s="46">
        <v>11.7</v>
      </c>
      <c r="AM42" s="46">
        <v>40</v>
      </c>
      <c r="AN42" s="46">
        <v>50</v>
      </c>
      <c r="AO42" s="47">
        <v>60</v>
      </c>
      <c r="AP42" s="42">
        <v>3.5</v>
      </c>
      <c r="AQ42" s="48"/>
    </row>
    <row r="43" spans="1:43" x14ac:dyDescent="0.3">
      <c r="A43" s="30" t="s">
        <v>217</v>
      </c>
      <c r="B43" s="31" t="s">
        <v>164</v>
      </c>
      <c r="C43" s="32" t="str">
        <f>A43&amp;". "&amp;B43</f>
        <v>37. 피트니스 / 운동실</v>
      </c>
      <c r="D43" s="34">
        <v>0.33333333333333331</v>
      </c>
      <c r="E43" s="49">
        <v>0.91666666666666663</v>
      </c>
      <c r="F43" s="35">
        <f t="shared" si="2"/>
        <v>13.999999999999998</v>
      </c>
      <c r="G43" s="36">
        <v>249</v>
      </c>
      <c r="H43" s="38"/>
      <c r="I43" s="35">
        <f t="shared" si="3"/>
        <v>14.999999999999998</v>
      </c>
      <c r="J43" s="38">
        <f t="shared" si="4"/>
        <v>249</v>
      </c>
      <c r="K43" s="39">
        <f t="shared" si="5"/>
        <v>14.999999999999998</v>
      </c>
      <c r="L43" s="42">
        <v>300</v>
      </c>
      <c r="M43" s="50">
        <v>0</v>
      </c>
      <c r="N43" s="43">
        <v>1</v>
      </c>
      <c r="O43" s="43">
        <v>0</v>
      </c>
      <c r="P43" s="41">
        <v>1</v>
      </c>
      <c r="Q43" s="42">
        <v>20</v>
      </c>
      <c r="R43" s="38">
        <v>24</v>
      </c>
      <c r="S43" s="38">
        <v>4</v>
      </c>
      <c r="T43" s="38">
        <v>18</v>
      </c>
      <c r="U43" s="38">
        <f t="shared" si="7"/>
        <v>26</v>
      </c>
      <c r="V43" s="38">
        <v>25</v>
      </c>
      <c r="W43" s="38">
        <v>60</v>
      </c>
      <c r="X43" s="38">
        <v>110</v>
      </c>
      <c r="Y43" s="38">
        <v>150</v>
      </c>
      <c r="Z43" s="54">
        <v>12</v>
      </c>
      <c r="AA43" s="54">
        <v>1.5</v>
      </c>
      <c r="AB43" s="43">
        <f t="shared" si="8"/>
        <v>6.75</v>
      </c>
      <c r="AC43" s="50">
        <v>0.5</v>
      </c>
      <c r="AD43" s="41">
        <v>0.9</v>
      </c>
      <c r="AE43" s="44">
        <v>12</v>
      </c>
      <c r="AF43" s="45">
        <v>12</v>
      </c>
      <c r="AG43" s="45">
        <v>6</v>
      </c>
      <c r="AH43" s="45">
        <v>5</v>
      </c>
      <c r="AI43" s="45">
        <v>4</v>
      </c>
      <c r="AJ43" s="46">
        <v>18.3</v>
      </c>
      <c r="AK43" s="46">
        <v>22</v>
      </c>
      <c r="AL43" s="46">
        <v>27.5</v>
      </c>
      <c r="AM43" s="46">
        <v>1</v>
      </c>
      <c r="AN43" s="46">
        <v>2</v>
      </c>
      <c r="AO43" s="47">
        <v>3</v>
      </c>
      <c r="AP43" s="52">
        <v>2.2999999999999998</v>
      </c>
      <c r="AQ43" s="48"/>
    </row>
    <row r="44" spans="1:43" x14ac:dyDescent="0.3">
      <c r="A44" s="30" t="s">
        <v>218</v>
      </c>
      <c r="B44" s="31" t="s">
        <v>165</v>
      </c>
      <c r="C44" s="32" t="str">
        <f>A44&amp;". "&amp;B44</f>
        <v>38. 실험 및 연구실</v>
      </c>
      <c r="D44" s="34">
        <v>0.29166666666666669</v>
      </c>
      <c r="E44" s="49">
        <v>0.75</v>
      </c>
      <c r="F44" s="35">
        <f t="shared" si="2"/>
        <v>11</v>
      </c>
      <c r="G44" s="36">
        <v>249</v>
      </c>
      <c r="H44" s="38"/>
      <c r="I44" s="35">
        <f t="shared" si="3"/>
        <v>12</v>
      </c>
      <c r="J44" s="38">
        <f t="shared" si="4"/>
        <v>249</v>
      </c>
      <c r="K44" s="39">
        <f t="shared" si="5"/>
        <v>12</v>
      </c>
      <c r="L44" s="42">
        <v>500</v>
      </c>
      <c r="M44" s="50">
        <v>1</v>
      </c>
      <c r="N44" s="43">
        <v>0.92</v>
      </c>
      <c r="O44" s="43">
        <v>0.3</v>
      </c>
      <c r="P44" s="41">
        <v>1</v>
      </c>
      <c r="Q44" s="42">
        <v>22</v>
      </c>
      <c r="R44" s="38">
        <v>26</v>
      </c>
      <c r="S44" s="38">
        <v>4</v>
      </c>
      <c r="T44" s="38">
        <v>20</v>
      </c>
      <c r="U44" s="38">
        <f t="shared" si="7"/>
        <v>28</v>
      </c>
      <c r="V44" s="38">
        <v>25</v>
      </c>
      <c r="W44" s="38">
        <v>60</v>
      </c>
      <c r="X44" s="38">
        <v>35</v>
      </c>
      <c r="Y44" s="38">
        <v>65</v>
      </c>
      <c r="Z44" s="54">
        <v>25</v>
      </c>
      <c r="AA44" s="43">
        <v>1.5</v>
      </c>
      <c r="AB44" s="43">
        <f t="shared" si="8"/>
        <v>13.25</v>
      </c>
      <c r="AC44" s="54">
        <v>0.5</v>
      </c>
      <c r="AD44" s="41">
        <v>0.5</v>
      </c>
      <c r="AE44" s="44">
        <v>6</v>
      </c>
      <c r="AF44" s="45">
        <v>6</v>
      </c>
      <c r="AG44" s="45">
        <v>18</v>
      </c>
      <c r="AH44" s="45">
        <v>14</v>
      </c>
      <c r="AI44" s="45">
        <v>10</v>
      </c>
      <c r="AJ44" s="46">
        <v>5</v>
      </c>
      <c r="AK44" s="46">
        <v>6.4</v>
      </c>
      <c r="AL44" s="46">
        <v>9</v>
      </c>
      <c r="AM44" s="46">
        <v>6</v>
      </c>
      <c r="AN44" s="46">
        <v>18</v>
      </c>
      <c r="AO44" s="47">
        <v>63</v>
      </c>
      <c r="AP44" s="42">
        <v>0.4</v>
      </c>
      <c r="AQ44" s="48"/>
    </row>
    <row r="45" spans="1:43" x14ac:dyDescent="0.3">
      <c r="A45" s="30" t="s">
        <v>219</v>
      </c>
      <c r="B45" s="31" t="s">
        <v>166</v>
      </c>
      <c r="C45" s="32" t="str">
        <f>A45&amp;". "&amp;B45</f>
        <v>39. 병영실, 대기실</v>
      </c>
      <c r="D45" s="34">
        <v>0</v>
      </c>
      <c r="E45" s="35" t="s">
        <v>126</v>
      </c>
      <c r="F45" s="35">
        <f t="shared" si="2"/>
        <v>24</v>
      </c>
      <c r="G45" s="36">
        <v>365</v>
      </c>
      <c r="H45" s="38"/>
      <c r="I45" s="35">
        <f t="shared" si="3"/>
        <v>24</v>
      </c>
      <c r="J45" s="38">
        <f t="shared" si="4"/>
        <v>365</v>
      </c>
      <c r="K45" s="39">
        <f t="shared" si="5"/>
        <v>17</v>
      </c>
      <c r="L45" s="42">
        <v>300</v>
      </c>
      <c r="M45" s="50">
        <v>0.8</v>
      </c>
      <c r="N45" s="43">
        <v>1</v>
      </c>
      <c r="O45" s="43">
        <v>0</v>
      </c>
      <c r="P45" s="41">
        <v>1</v>
      </c>
      <c r="Q45" s="42">
        <v>20</v>
      </c>
      <c r="R45" s="38">
        <v>26</v>
      </c>
      <c r="S45" s="56">
        <v>0</v>
      </c>
      <c r="T45" s="38">
        <f t="shared" si="6"/>
        <v>19</v>
      </c>
      <c r="U45" s="38">
        <f t="shared" si="7"/>
        <v>28</v>
      </c>
      <c r="V45" s="38">
        <v>25</v>
      </c>
      <c r="W45" s="38">
        <v>60</v>
      </c>
      <c r="X45" s="38">
        <v>35</v>
      </c>
      <c r="Y45" s="38">
        <v>65</v>
      </c>
      <c r="Z45" s="54">
        <v>5</v>
      </c>
      <c r="AA45" s="54">
        <v>1.3</v>
      </c>
      <c r="AB45" s="43">
        <f t="shared" si="8"/>
        <v>3.15</v>
      </c>
      <c r="AC45" s="50">
        <v>0.5</v>
      </c>
      <c r="AD45" s="41">
        <v>0.5</v>
      </c>
      <c r="AE45" s="44">
        <v>14.4</v>
      </c>
      <c r="AF45" s="45">
        <v>14.4</v>
      </c>
      <c r="AG45" s="45">
        <v>8</v>
      </c>
      <c r="AH45" s="45">
        <v>6.6</v>
      </c>
      <c r="AI45" s="45">
        <v>4</v>
      </c>
      <c r="AJ45" s="46">
        <f>80/AG45</f>
        <v>10</v>
      </c>
      <c r="AK45" s="46">
        <f t="shared" ref="AK45:AL45" si="12">80/AH45</f>
        <v>12.121212121212121</v>
      </c>
      <c r="AL45" s="46">
        <f t="shared" si="12"/>
        <v>20</v>
      </c>
      <c r="AM45" s="46">
        <v>2</v>
      </c>
      <c r="AN45" s="46">
        <v>4</v>
      </c>
      <c r="AO45" s="47">
        <v>6</v>
      </c>
      <c r="AP45" s="52">
        <v>1.8</v>
      </c>
      <c r="AQ45" s="48"/>
    </row>
    <row r="46" spans="1:43" x14ac:dyDescent="0.3">
      <c r="A46" s="30" t="s">
        <v>220</v>
      </c>
      <c r="B46" s="31" t="s">
        <v>167</v>
      </c>
      <c r="C46" s="32" t="str">
        <f>A46&amp;". "&amp;B46</f>
        <v>40. 노인 주거실</v>
      </c>
      <c r="D46" s="34">
        <v>0</v>
      </c>
      <c r="E46" s="35" t="s">
        <v>126</v>
      </c>
      <c r="F46" s="35">
        <f t="shared" si="2"/>
        <v>24</v>
      </c>
      <c r="G46" s="36">
        <v>365</v>
      </c>
      <c r="H46" s="38"/>
      <c r="I46" s="35">
        <f t="shared" si="3"/>
        <v>24</v>
      </c>
      <c r="J46" s="38">
        <f t="shared" si="4"/>
        <v>365</v>
      </c>
      <c r="K46" s="39">
        <f t="shared" si="5"/>
        <v>17</v>
      </c>
      <c r="L46" s="42">
        <v>300</v>
      </c>
      <c r="M46" s="50">
        <v>0.8</v>
      </c>
      <c r="N46" s="43">
        <v>1</v>
      </c>
      <c r="O46" s="43">
        <v>0</v>
      </c>
      <c r="P46" s="41">
        <v>1</v>
      </c>
      <c r="Q46" s="42">
        <v>22</v>
      </c>
      <c r="R46" s="38">
        <v>26</v>
      </c>
      <c r="S46" s="56">
        <v>0</v>
      </c>
      <c r="T46" s="38">
        <v>20</v>
      </c>
      <c r="U46" s="38">
        <f t="shared" si="7"/>
        <v>28</v>
      </c>
      <c r="V46" s="38">
        <v>25</v>
      </c>
      <c r="W46" s="38">
        <v>60</v>
      </c>
      <c r="X46" s="38">
        <v>35</v>
      </c>
      <c r="Y46" s="38">
        <v>65</v>
      </c>
      <c r="Z46" s="54">
        <v>3</v>
      </c>
      <c r="AA46" s="54">
        <v>1.3</v>
      </c>
      <c r="AB46" s="43">
        <f t="shared" si="8"/>
        <v>2.66</v>
      </c>
      <c r="AC46" s="50">
        <v>0.2</v>
      </c>
      <c r="AD46" s="41">
        <v>0.5</v>
      </c>
      <c r="AE46" s="44">
        <v>14.4</v>
      </c>
      <c r="AF46" s="45">
        <v>14.4</v>
      </c>
      <c r="AG46" s="45">
        <v>17</v>
      </c>
      <c r="AH46" s="45">
        <v>15</v>
      </c>
      <c r="AI46" s="45">
        <v>13</v>
      </c>
      <c r="AJ46" s="46">
        <v>4.0999999999999996</v>
      </c>
      <c r="AK46" s="46">
        <v>4.7</v>
      </c>
      <c r="AL46" s="46">
        <v>5.4</v>
      </c>
      <c r="AM46" s="46">
        <v>6</v>
      </c>
      <c r="AN46" s="46">
        <v>9.5</v>
      </c>
      <c r="AO46" s="47">
        <v>13</v>
      </c>
      <c r="AP46" s="52">
        <v>2</v>
      </c>
      <c r="AQ46" s="48"/>
    </row>
    <row r="47" spans="1:43" x14ac:dyDescent="0.3">
      <c r="A47" s="30" t="s">
        <v>221</v>
      </c>
      <c r="B47" s="31" t="s">
        <v>168</v>
      </c>
      <c r="C47" s="32" t="str">
        <f>A47&amp;". "&amp;B47</f>
        <v>41. 의료 검사 및 치료실</v>
      </c>
      <c r="D47" s="34">
        <v>0.33333333333333331</v>
      </c>
      <c r="E47" s="49">
        <v>0.75</v>
      </c>
      <c r="F47" s="35">
        <f t="shared" si="2"/>
        <v>10</v>
      </c>
      <c r="G47" s="36">
        <v>249</v>
      </c>
      <c r="H47" s="38"/>
      <c r="I47" s="35">
        <f t="shared" si="3"/>
        <v>11</v>
      </c>
      <c r="J47" s="38">
        <f t="shared" si="4"/>
        <v>249</v>
      </c>
      <c r="K47" s="39">
        <f t="shared" si="5"/>
        <v>11</v>
      </c>
      <c r="L47" s="42">
        <v>500</v>
      </c>
      <c r="M47" s="50">
        <v>0.8</v>
      </c>
      <c r="N47" s="43">
        <v>1</v>
      </c>
      <c r="O47" s="43">
        <v>0</v>
      </c>
      <c r="P47" s="41">
        <v>1</v>
      </c>
      <c r="Q47" s="42">
        <v>22</v>
      </c>
      <c r="R47" s="38">
        <v>26</v>
      </c>
      <c r="S47" s="38">
        <v>4</v>
      </c>
      <c r="T47" s="38">
        <v>20</v>
      </c>
      <c r="U47" s="38">
        <f t="shared" si="7"/>
        <v>28</v>
      </c>
      <c r="V47" s="38">
        <v>25</v>
      </c>
      <c r="W47" s="38">
        <v>60</v>
      </c>
      <c r="X47" s="38">
        <v>35</v>
      </c>
      <c r="Y47" s="38">
        <v>65</v>
      </c>
      <c r="Z47" s="43">
        <v>10</v>
      </c>
      <c r="AA47" s="43">
        <v>0.2</v>
      </c>
      <c r="AB47" s="43">
        <f t="shared" si="8"/>
        <v>7.06</v>
      </c>
      <c r="AC47" s="60">
        <v>0.3</v>
      </c>
      <c r="AD47" s="41">
        <v>0.7</v>
      </c>
      <c r="AE47" s="44">
        <v>9</v>
      </c>
      <c r="AF47" s="45">
        <v>5</v>
      </c>
      <c r="AG47" s="45">
        <v>16</v>
      </c>
      <c r="AH47" s="45">
        <v>12</v>
      </c>
      <c r="AI47" s="45">
        <v>7</v>
      </c>
      <c r="AJ47" s="46">
        <v>4.4000000000000004</v>
      </c>
      <c r="AK47" s="46">
        <v>5.8</v>
      </c>
      <c r="AL47" s="46">
        <v>10</v>
      </c>
      <c r="AM47" s="46">
        <v>3</v>
      </c>
      <c r="AN47" s="46">
        <v>5</v>
      </c>
      <c r="AO47" s="47">
        <v>7</v>
      </c>
      <c r="AP47" s="52">
        <v>0</v>
      </c>
      <c r="AQ47" s="48"/>
    </row>
    <row r="48" spans="1:43" x14ac:dyDescent="0.3">
      <c r="A48" s="30" t="s">
        <v>222</v>
      </c>
      <c r="B48" s="31" t="s">
        <v>169</v>
      </c>
      <c r="C48" s="32" t="str">
        <f>A48&amp;". "&amp;B48</f>
        <v>42. 물류보관실</v>
      </c>
      <c r="D48" s="34">
        <v>0</v>
      </c>
      <c r="E48" s="49" t="s">
        <v>170</v>
      </c>
      <c r="F48" s="35">
        <f t="shared" si="2"/>
        <v>24</v>
      </c>
      <c r="G48" s="36">
        <v>365</v>
      </c>
      <c r="H48" s="38"/>
      <c r="I48" s="35">
        <f t="shared" si="3"/>
        <v>24</v>
      </c>
      <c r="J48" s="38">
        <f t="shared" si="4"/>
        <v>365</v>
      </c>
      <c r="K48" s="39">
        <f t="shared" si="5"/>
        <v>17</v>
      </c>
      <c r="L48" s="42">
        <v>150</v>
      </c>
      <c r="M48" s="50">
        <v>0</v>
      </c>
      <c r="N48" s="43">
        <v>1</v>
      </c>
      <c r="O48" s="43">
        <v>0.6</v>
      </c>
      <c r="P48" s="41">
        <v>1.8</v>
      </c>
      <c r="Q48" s="42">
        <v>12</v>
      </c>
      <c r="R48" s="38">
        <v>28</v>
      </c>
      <c r="S48" s="56">
        <v>0</v>
      </c>
      <c r="T48" s="38">
        <v>12</v>
      </c>
      <c r="U48" s="38">
        <f t="shared" si="7"/>
        <v>30</v>
      </c>
      <c r="V48" s="38">
        <v>25</v>
      </c>
      <c r="W48" s="38">
        <v>60</v>
      </c>
      <c r="X48" s="38">
        <v>0</v>
      </c>
      <c r="Y48" s="38">
        <v>0</v>
      </c>
      <c r="Z48" s="54">
        <v>1</v>
      </c>
      <c r="AA48" s="43">
        <v>0.2</v>
      </c>
      <c r="AB48" s="43">
        <f t="shared" si="8"/>
        <v>1</v>
      </c>
      <c r="AC48" s="60">
        <v>0</v>
      </c>
      <c r="AD48" s="41">
        <v>1</v>
      </c>
      <c r="AE48" s="44">
        <v>0</v>
      </c>
      <c r="AF48" s="45">
        <v>0</v>
      </c>
      <c r="AG48" s="45">
        <v>0</v>
      </c>
      <c r="AH48" s="45">
        <v>0</v>
      </c>
      <c r="AI48" s="45">
        <v>0</v>
      </c>
      <c r="AJ48" s="45">
        <v>0</v>
      </c>
      <c r="AK48" s="45">
        <v>0</v>
      </c>
      <c r="AL48" s="45">
        <v>0</v>
      </c>
      <c r="AM48" s="45">
        <v>0</v>
      </c>
      <c r="AN48" s="45">
        <v>0</v>
      </c>
      <c r="AO48" s="57">
        <v>0</v>
      </c>
      <c r="AP48" s="52">
        <v>0</v>
      </c>
      <c r="AQ48" s="48"/>
    </row>
    <row r="49" spans="1:43" x14ac:dyDescent="0.3">
      <c r="A49" s="30" t="s">
        <v>223</v>
      </c>
      <c r="B49" s="31" t="s">
        <v>171</v>
      </c>
      <c r="C49" s="32" t="str">
        <f>A49&amp;". "&amp;B49</f>
        <v>43. 수영장</v>
      </c>
      <c r="D49" s="34">
        <v>0.29166666666666669</v>
      </c>
      <c r="E49" s="49">
        <v>0.83333333333333337</v>
      </c>
      <c r="F49" s="35">
        <f t="shared" si="2"/>
        <v>13.000000000000002</v>
      </c>
      <c r="G49" s="36">
        <v>249</v>
      </c>
      <c r="H49" s="38"/>
      <c r="I49" s="35">
        <f t="shared" si="3"/>
        <v>14.000000000000002</v>
      </c>
      <c r="J49" s="38">
        <f t="shared" si="4"/>
        <v>249</v>
      </c>
      <c r="K49" s="39">
        <f t="shared" si="5"/>
        <v>14.000000000000002</v>
      </c>
      <c r="L49" s="42">
        <v>500</v>
      </c>
      <c r="M49" s="50">
        <v>0.6</v>
      </c>
      <c r="N49" s="43">
        <v>1</v>
      </c>
      <c r="O49" s="43">
        <v>0.3</v>
      </c>
      <c r="P49" s="41">
        <v>1</v>
      </c>
      <c r="Q49" s="42">
        <v>24</v>
      </c>
      <c r="R49" s="38">
        <v>28</v>
      </c>
      <c r="S49" s="56">
        <v>4</v>
      </c>
      <c r="T49" s="38">
        <v>22</v>
      </c>
      <c r="U49" s="38">
        <f t="shared" si="7"/>
        <v>30</v>
      </c>
      <c r="V49" s="38">
        <v>0</v>
      </c>
      <c r="W49" s="38">
        <v>100</v>
      </c>
      <c r="X49" s="38">
        <v>35</v>
      </c>
      <c r="Y49" s="38">
        <v>65</v>
      </c>
      <c r="Z49" s="54">
        <v>10</v>
      </c>
      <c r="AA49" s="54">
        <v>1.5</v>
      </c>
      <c r="AB49" s="43">
        <f t="shared" si="8"/>
        <v>5.75</v>
      </c>
      <c r="AC49" s="50">
        <v>0.5</v>
      </c>
      <c r="AD49" s="41">
        <v>0.9</v>
      </c>
      <c r="AE49" s="44">
        <v>10</v>
      </c>
      <c r="AF49" s="45">
        <v>0</v>
      </c>
      <c r="AG49" s="45">
        <v>30</v>
      </c>
      <c r="AH49" s="45">
        <v>20</v>
      </c>
      <c r="AI49" s="45">
        <v>10</v>
      </c>
      <c r="AJ49" s="46">
        <v>4.2</v>
      </c>
      <c r="AK49" s="46">
        <v>6.3</v>
      </c>
      <c r="AL49" s="46">
        <v>12.5</v>
      </c>
      <c r="AM49" s="45">
        <v>0</v>
      </c>
      <c r="AN49" s="45">
        <v>0</v>
      </c>
      <c r="AO49" s="57">
        <v>0</v>
      </c>
      <c r="AP49" s="52">
        <v>2.1</v>
      </c>
      <c r="AQ49" s="48"/>
    </row>
    <row r="50" spans="1:43" x14ac:dyDescent="0.3">
      <c r="A50" s="61" t="s">
        <v>224</v>
      </c>
      <c r="B50" s="62" t="s">
        <v>172</v>
      </c>
      <c r="C50" s="63" t="str">
        <f>A50&amp;". "&amp;B50</f>
        <v>44. 세탁실</v>
      </c>
      <c r="D50" s="64">
        <v>0.29166666666666669</v>
      </c>
      <c r="E50" s="65">
        <v>0.75</v>
      </c>
      <c r="F50" s="66">
        <f t="shared" si="2"/>
        <v>11</v>
      </c>
      <c r="G50" s="67">
        <v>249</v>
      </c>
      <c r="H50" s="68"/>
      <c r="I50" s="66">
        <f t="shared" si="3"/>
        <v>12</v>
      </c>
      <c r="J50" s="68">
        <f t="shared" si="4"/>
        <v>249</v>
      </c>
      <c r="K50" s="69">
        <f t="shared" si="5"/>
        <v>12</v>
      </c>
      <c r="L50" s="70">
        <v>150</v>
      </c>
      <c r="M50" s="71">
        <v>0.4</v>
      </c>
      <c r="N50" s="72">
        <v>1</v>
      </c>
      <c r="O50" s="72">
        <v>0.5</v>
      </c>
      <c r="P50" s="73">
        <v>1</v>
      </c>
      <c r="Q50" s="70">
        <v>21</v>
      </c>
      <c r="R50" s="68">
        <v>26</v>
      </c>
      <c r="S50" s="74">
        <v>4</v>
      </c>
      <c r="T50" s="68">
        <f t="shared" si="6"/>
        <v>20</v>
      </c>
      <c r="U50" s="68">
        <f t="shared" si="7"/>
        <v>28</v>
      </c>
      <c r="V50" s="68">
        <v>0</v>
      </c>
      <c r="W50" s="68">
        <v>100</v>
      </c>
      <c r="X50" s="68">
        <v>0</v>
      </c>
      <c r="Y50" s="68">
        <v>0</v>
      </c>
      <c r="Z50" s="75">
        <v>0.2</v>
      </c>
      <c r="AA50" s="72">
        <v>0.2</v>
      </c>
      <c r="AB50" s="72">
        <f t="shared" si="8"/>
        <v>0.2</v>
      </c>
      <c r="AC50" s="76">
        <v>0</v>
      </c>
      <c r="AD50" s="77">
        <v>1</v>
      </c>
      <c r="AE50" s="78">
        <v>0</v>
      </c>
      <c r="AF50" s="76">
        <v>0</v>
      </c>
      <c r="AG50" s="76">
        <v>0</v>
      </c>
      <c r="AH50" s="76">
        <v>0</v>
      </c>
      <c r="AI50" s="76">
        <v>0</v>
      </c>
      <c r="AJ50" s="76">
        <v>0</v>
      </c>
      <c r="AK50" s="76">
        <v>0</v>
      </c>
      <c r="AL50" s="76">
        <v>0</v>
      </c>
      <c r="AM50" s="76">
        <v>0</v>
      </c>
      <c r="AN50" s="76">
        <v>0</v>
      </c>
      <c r="AO50" s="77">
        <v>0</v>
      </c>
      <c r="AP50" s="79">
        <v>20</v>
      </c>
      <c r="AQ50" s="80">
        <v>2</v>
      </c>
    </row>
  </sheetData>
  <mergeCells count="5">
    <mergeCell ref="D2:K2"/>
    <mergeCell ref="L2:P2"/>
    <mergeCell ref="Q2:AD2"/>
    <mergeCell ref="AE2:AO2"/>
    <mergeCell ref="AP2:AQ2"/>
  </mergeCells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2023-04-25T04:02:02Z</dcterms:created>
  <dcterms:modified xsi:type="dcterms:W3CDTF">2023-04-25T04:09:02Z</dcterms:modified>
</cp:coreProperties>
</file>