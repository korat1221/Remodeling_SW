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GitHub\Remodeling_SW\기초데이터\원본\"/>
    </mc:Choice>
  </mc:AlternateContent>
  <bookViews>
    <workbookView xWindow="0" yWindow="0" windowWidth="38400" windowHeight="10305" firstSheet="1" activeTab="5"/>
  </bookViews>
  <sheets>
    <sheet name="커튼월창프레임" sheetId="7" r:id="rId1"/>
    <sheet name="간봉" sheetId="9" r:id="rId2"/>
    <sheet name="설치열교" sheetId="10" r:id="rId3"/>
    <sheet name="도어프레임" sheetId="17" r:id="rId4"/>
    <sheet name="이미지_커튼월창프레임" sheetId="18" r:id="rId5"/>
    <sheet name="이미지_설치열교" sheetId="19" r:id="rId6"/>
    <sheet name="이미지_구조유형" sheetId="14" r:id="rId7"/>
  </sheets>
  <externalReferences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9" i="10" l="1"/>
  <c r="H39" i="10"/>
  <c r="I38" i="10"/>
  <c r="H38" i="10"/>
  <c r="I37" i="10"/>
  <c r="H37" i="10"/>
  <c r="I36" i="10"/>
  <c r="H36" i="10"/>
  <c r="I35" i="10"/>
  <c r="H35" i="10"/>
  <c r="I34" i="10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J14" i="9"/>
  <c r="I14" i="9"/>
  <c r="J13" i="9"/>
  <c r="I13" i="9"/>
  <c r="J12" i="9"/>
  <c r="I12" i="9"/>
  <c r="J11" i="9"/>
  <c r="I11" i="9"/>
  <c r="J10" i="9"/>
  <c r="I10" i="9"/>
</calcChain>
</file>

<file path=xl/comments1.xml><?xml version="1.0" encoding="utf-8"?>
<comments xmlns="http://schemas.openxmlformats.org/spreadsheetml/2006/main">
  <authors>
    <author>sungjung_park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sungjung_park: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프레임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멀리언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트렌섬선형열교포함</t>
        </r>
      </text>
    </comment>
  </commentList>
</comments>
</file>

<file path=xl/sharedStrings.xml><?xml version="1.0" encoding="utf-8"?>
<sst xmlns="http://schemas.openxmlformats.org/spreadsheetml/2006/main" count="485" uniqueCount="222">
  <si>
    <t>내단열</t>
  </si>
  <si>
    <t>경량철골조</t>
  </si>
  <si>
    <t>목구조</t>
  </si>
  <si>
    <t>DB유형</t>
    <phoneticPr fontId="3" type="noConversion"/>
  </si>
  <si>
    <t>번호</t>
    <phoneticPr fontId="3" type="noConversion"/>
  </si>
  <si>
    <t>제품명</t>
    <phoneticPr fontId="3" type="noConversion"/>
  </si>
  <si>
    <t>제조사</t>
    <phoneticPr fontId="3" type="noConversion"/>
  </si>
  <si>
    <t>인증</t>
    <phoneticPr fontId="3" type="noConversion"/>
  </si>
  <si>
    <t>번호</t>
    <phoneticPr fontId="3" type="noConversion"/>
  </si>
  <si>
    <t>DB유형</t>
    <phoneticPr fontId="3" type="noConversion"/>
  </si>
  <si>
    <t>번호</t>
    <phoneticPr fontId="3" type="noConversion"/>
  </si>
  <si>
    <t>제품명</t>
    <phoneticPr fontId="3" type="noConversion"/>
  </si>
  <si>
    <t>구분1</t>
    <phoneticPr fontId="3" type="noConversion"/>
  </si>
  <si>
    <t>구분3</t>
    <phoneticPr fontId="3" type="noConversion"/>
  </si>
  <si>
    <t>고정유리(CL)
선형열관류율</t>
    <phoneticPr fontId="3" type="noConversion"/>
  </si>
  <si>
    <t>개폐유리(CL)
선형열관류율</t>
    <phoneticPr fontId="3" type="noConversion"/>
  </si>
  <si>
    <t>고정유리(LE)
선형열관류율</t>
    <phoneticPr fontId="3" type="noConversion"/>
  </si>
  <si>
    <t>개폐유리(LE)
선형열관류율</t>
    <phoneticPr fontId="3" type="noConversion"/>
  </si>
  <si>
    <t>GS_001</t>
    <phoneticPr fontId="3" type="noConversion"/>
  </si>
  <si>
    <t>GS_002</t>
  </si>
  <si>
    <t>GS_003</t>
  </si>
  <si>
    <t>GS_004</t>
  </si>
  <si>
    <t>GS_005</t>
  </si>
  <si>
    <t>GS_006</t>
  </si>
  <si>
    <t>GS_007</t>
  </si>
  <si>
    <t>GS_008</t>
  </si>
  <si>
    <t>GS_009</t>
  </si>
  <si>
    <t>GS_010</t>
  </si>
  <si>
    <t>GS_011</t>
  </si>
  <si>
    <t>표준</t>
    <phoneticPr fontId="3" type="noConversion"/>
  </si>
  <si>
    <t>표준</t>
    <phoneticPr fontId="3" type="noConversion"/>
  </si>
  <si>
    <t>표준</t>
    <phoneticPr fontId="3" type="noConversion"/>
  </si>
  <si>
    <t>제품명</t>
    <phoneticPr fontId="3" type="noConversion"/>
  </si>
  <si>
    <t>구분1</t>
    <phoneticPr fontId="3" type="noConversion"/>
  </si>
  <si>
    <t>구분2</t>
    <phoneticPr fontId="3" type="noConversion"/>
  </si>
  <si>
    <t>구분4</t>
    <phoneticPr fontId="3" type="noConversion"/>
  </si>
  <si>
    <t>상부설치
선형열관류율</t>
    <phoneticPr fontId="3" type="noConversion"/>
  </si>
  <si>
    <t>측면설치
선형열관류율</t>
    <phoneticPr fontId="3" type="noConversion"/>
  </si>
  <si>
    <t>하부설치
선형열관류율</t>
    <phoneticPr fontId="3" type="noConversion"/>
  </si>
  <si>
    <t>WS_002</t>
  </si>
  <si>
    <t>WS_003</t>
  </si>
  <si>
    <t>WS_004</t>
  </si>
  <si>
    <t>WS_005</t>
  </si>
  <si>
    <t>WS_006</t>
  </si>
  <si>
    <t>WS_007</t>
  </si>
  <si>
    <t>WS_008</t>
  </si>
  <si>
    <t>WS_009</t>
  </si>
  <si>
    <t>WS_010</t>
  </si>
  <si>
    <t>WS_011</t>
  </si>
  <si>
    <t>WS_012</t>
  </si>
  <si>
    <t>WS_013</t>
  </si>
  <si>
    <t>WS_014</t>
  </si>
  <si>
    <t>WS_015</t>
  </si>
  <si>
    <t>WS_016</t>
  </si>
  <si>
    <t>WS_017</t>
  </si>
  <si>
    <t>WS_018</t>
  </si>
  <si>
    <t>WS_019</t>
  </si>
  <si>
    <t>WS_020</t>
  </si>
  <si>
    <t>WS_021</t>
  </si>
  <si>
    <t>WS_022</t>
  </si>
  <si>
    <t>WS_023</t>
  </si>
  <si>
    <t>WS_024</t>
  </si>
  <si>
    <t>WS_025</t>
  </si>
  <si>
    <t>WS_026</t>
  </si>
  <si>
    <t>WS_027</t>
  </si>
  <si>
    <t>WS_028</t>
  </si>
  <si>
    <t>WS_029</t>
  </si>
  <si>
    <t>WS_030</t>
  </si>
  <si>
    <t>WS_031</t>
  </si>
  <si>
    <t>WS_032</t>
  </si>
  <si>
    <t>WS_033</t>
  </si>
  <si>
    <t>WS_034</t>
  </si>
  <si>
    <t>WS_035</t>
  </si>
  <si>
    <t>WS_036</t>
  </si>
  <si>
    <t>외부측</t>
  </si>
  <si>
    <t>중간</t>
  </si>
  <si>
    <t>내부측</t>
  </si>
  <si>
    <t>외단열</t>
  </si>
  <si>
    <t>표준</t>
    <phoneticPr fontId="3" type="noConversion"/>
  </si>
  <si>
    <t>구조유형</t>
    <phoneticPr fontId="3" type="noConversion"/>
  </si>
  <si>
    <t>이미지</t>
    <phoneticPr fontId="3" type="noConversion"/>
  </si>
  <si>
    <t>구분1</t>
    <phoneticPr fontId="3" type="noConversion"/>
  </si>
  <si>
    <t>구분2</t>
    <phoneticPr fontId="3" type="noConversion"/>
  </si>
  <si>
    <t>고정부프레임
열관류율</t>
    <phoneticPr fontId="3" type="noConversion"/>
  </si>
  <si>
    <t>개폐부프레임
열관류율</t>
    <phoneticPr fontId="3" type="noConversion"/>
  </si>
  <si>
    <t>패널엣지선형열관류율</t>
    <phoneticPr fontId="3" type="noConversion"/>
  </si>
  <si>
    <t>M/T
프레임두께</t>
    <phoneticPr fontId="3" type="noConversion"/>
  </si>
  <si>
    <t>fr
프레임두께</t>
    <phoneticPr fontId="3" type="noConversion"/>
  </si>
  <si>
    <t>IPAZEB</t>
    <phoneticPr fontId="3" type="noConversion"/>
  </si>
  <si>
    <t>단열ALU</t>
    <phoneticPr fontId="3" type="noConversion"/>
  </si>
  <si>
    <t>일반간봉</t>
  </si>
  <si>
    <t>단열ALU</t>
  </si>
  <si>
    <t>단열간봉</t>
  </si>
  <si>
    <t>STS</t>
    <phoneticPr fontId="3" type="noConversion"/>
  </si>
  <si>
    <t>JA-192</t>
    <phoneticPr fontId="3" type="noConversion"/>
  </si>
  <si>
    <t>중앙알텍</t>
    <phoneticPr fontId="3" type="noConversion"/>
  </si>
  <si>
    <t>㈜ 한솔HWD</t>
    <phoneticPr fontId="3" type="noConversion"/>
  </si>
  <si>
    <t>KYE-CWP42T_155</t>
    <phoneticPr fontId="3" type="noConversion"/>
  </si>
  <si>
    <t>KYE-CWP43TG_180</t>
    <phoneticPr fontId="3" type="noConversion"/>
  </si>
  <si>
    <t>건양엔지니어링</t>
    <phoneticPr fontId="3" type="noConversion"/>
  </si>
  <si>
    <t>원진알미늄</t>
    <phoneticPr fontId="3" type="noConversion"/>
  </si>
  <si>
    <t>표준Psi</t>
    <phoneticPr fontId="3" type="noConversion"/>
  </si>
  <si>
    <t>일반간봉</t>
    <phoneticPr fontId="3" type="noConversion"/>
  </si>
  <si>
    <t>STS</t>
  </si>
  <si>
    <t>일반ALU</t>
  </si>
  <si>
    <t>단열간봉</t>
    <phoneticPr fontId="3" type="noConversion"/>
  </si>
  <si>
    <t>IPAZEB</t>
    <phoneticPr fontId="3" type="noConversion"/>
  </si>
  <si>
    <t>일반간봉</t>
    <phoneticPr fontId="3" type="noConversion"/>
  </si>
  <si>
    <t>제조사</t>
    <phoneticPr fontId="3" type="noConversion"/>
  </si>
  <si>
    <t>HS162</t>
    <phoneticPr fontId="3" type="noConversion"/>
  </si>
  <si>
    <t>WJ-AFP173CH-T08</t>
    <phoneticPr fontId="3" type="noConversion"/>
  </si>
  <si>
    <t>표준설치열교</t>
    <phoneticPr fontId="3" type="noConversion"/>
  </si>
  <si>
    <t>WS_001</t>
    <phoneticPr fontId="3" type="noConversion"/>
  </si>
  <si>
    <t>표준설치열교</t>
    <phoneticPr fontId="3" type="noConversion"/>
  </si>
  <si>
    <t>표준설치열교</t>
    <phoneticPr fontId="3" type="noConversion"/>
  </si>
  <si>
    <t>표준설치열교</t>
    <phoneticPr fontId="3" type="noConversion"/>
  </si>
  <si>
    <t>표준설치열교</t>
    <phoneticPr fontId="3" type="noConversion"/>
  </si>
  <si>
    <t>표준설치열교</t>
    <phoneticPr fontId="3" type="noConversion"/>
  </si>
  <si>
    <t>표준설치열교</t>
    <phoneticPr fontId="3" type="noConversion"/>
  </si>
  <si>
    <t>표준</t>
    <phoneticPr fontId="3" type="noConversion"/>
  </si>
  <si>
    <t>제품명</t>
    <phoneticPr fontId="3" type="noConversion"/>
  </si>
  <si>
    <t>번호</t>
    <phoneticPr fontId="3" type="noConversion"/>
  </si>
  <si>
    <t>제조사</t>
    <phoneticPr fontId="3" type="noConversion"/>
  </si>
  <si>
    <t>프레임
열관류율</t>
    <phoneticPr fontId="3" type="noConversion"/>
  </si>
  <si>
    <t>fr
프레임두께</t>
    <phoneticPr fontId="3" type="noConversion"/>
  </si>
  <si>
    <t>CWD_01</t>
    <phoneticPr fontId="3" type="noConversion"/>
  </si>
  <si>
    <t>CWD_02</t>
    <phoneticPr fontId="3" type="noConversion"/>
  </si>
  <si>
    <t>CWD_03</t>
    <phoneticPr fontId="3" type="noConversion"/>
  </si>
  <si>
    <t>CWD_04</t>
    <phoneticPr fontId="3" type="noConversion"/>
  </si>
  <si>
    <t>IPAZEB</t>
    <phoneticPr fontId="3" type="noConversion"/>
  </si>
  <si>
    <t>일반ALU</t>
    <phoneticPr fontId="3" type="noConversion"/>
  </si>
  <si>
    <t>none</t>
    <phoneticPr fontId="3" type="noConversion"/>
  </si>
  <si>
    <t>신규 커튼월창</t>
    <phoneticPr fontId="3" type="noConversion"/>
  </si>
  <si>
    <t>철거 후 신규</t>
    <phoneticPr fontId="3" type="noConversion"/>
  </si>
  <si>
    <t>기존 커튼월창</t>
    <phoneticPr fontId="3" type="noConversion"/>
  </si>
  <si>
    <t>기본형</t>
    <phoneticPr fontId="3" type="noConversion"/>
  </si>
  <si>
    <t>3단형</t>
    <phoneticPr fontId="3" type="noConversion"/>
  </si>
  <si>
    <t>4단형</t>
    <phoneticPr fontId="3" type="noConversion"/>
  </si>
  <si>
    <r>
      <t>U</t>
    </r>
    <r>
      <rPr>
        <vertAlign val="subscript"/>
        <sz val="9"/>
        <color theme="1"/>
        <rFont val="맑은 고딕"/>
        <family val="3"/>
        <charset val="129"/>
        <scheme val="major"/>
      </rPr>
      <t>mt</t>
    </r>
    <phoneticPr fontId="3" type="noConversion"/>
  </si>
  <si>
    <r>
      <t>U</t>
    </r>
    <r>
      <rPr>
        <vertAlign val="subscript"/>
        <sz val="9"/>
        <color theme="1"/>
        <rFont val="맑은 고딕"/>
        <family val="3"/>
        <charset val="129"/>
        <scheme val="major"/>
      </rPr>
      <t>fr</t>
    </r>
    <phoneticPr fontId="3" type="noConversion"/>
  </si>
  <si>
    <r>
      <rPr>
        <sz val="9"/>
        <color theme="1"/>
        <rFont val="Calibri"/>
        <family val="3"/>
        <charset val="161"/>
      </rPr>
      <t>Ψ</t>
    </r>
    <r>
      <rPr>
        <vertAlign val="subscript"/>
        <sz val="9"/>
        <rFont val="맑은 고딕"/>
        <family val="3"/>
        <charset val="129"/>
        <scheme val="minor"/>
      </rPr>
      <t>p,mt</t>
    </r>
    <phoneticPr fontId="3" type="noConversion"/>
  </si>
  <si>
    <t>Da</t>
    <phoneticPr fontId="3" type="noConversion"/>
  </si>
  <si>
    <r>
      <t>d</t>
    </r>
    <r>
      <rPr>
        <vertAlign val="subscript"/>
        <sz val="9"/>
        <color theme="1"/>
        <rFont val="맑은 고딕"/>
        <family val="3"/>
        <charset val="129"/>
        <scheme val="major"/>
      </rPr>
      <t>B</t>
    </r>
    <phoneticPr fontId="3" type="noConversion"/>
  </si>
  <si>
    <r>
      <t>[W/m</t>
    </r>
    <r>
      <rPr>
        <vertAlign val="superscript"/>
        <sz val="9"/>
        <color theme="1"/>
        <rFont val="맑은 고딕"/>
        <family val="3"/>
        <charset val="129"/>
        <scheme val="major"/>
      </rPr>
      <t>2</t>
    </r>
    <r>
      <rPr>
        <sz val="9"/>
        <color theme="1"/>
        <rFont val="맑은 고딕"/>
        <family val="3"/>
        <charset val="129"/>
        <scheme val="major"/>
      </rPr>
      <t>∙K]</t>
    </r>
    <phoneticPr fontId="3" type="noConversion"/>
  </si>
  <si>
    <t>[W/m·K]</t>
    <phoneticPr fontId="3" type="noConversion"/>
  </si>
  <si>
    <t>[m]</t>
    <phoneticPr fontId="3" type="noConversion"/>
  </si>
  <si>
    <t>[m]</t>
    <phoneticPr fontId="3" type="noConversion"/>
  </si>
  <si>
    <t>CW_01</t>
    <phoneticPr fontId="3" type="noConversion"/>
  </si>
  <si>
    <t>표준</t>
    <phoneticPr fontId="3" type="noConversion"/>
  </si>
  <si>
    <t>일반간봉_단열ALU</t>
    <phoneticPr fontId="3" type="noConversion"/>
  </si>
  <si>
    <t>IPAZEB</t>
    <phoneticPr fontId="3" type="noConversion"/>
  </si>
  <si>
    <t>CW_02</t>
    <phoneticPr fontId="3" type="noConversion"/>
  </si>
  <si>
    <t>표준</t>
    <phoneticPr fontId="3" type="noConversion"/>
  </si>
  <si>
    <t>단열간봉_단열ALU</t>
    <phoneticPr fontId="3" type="noConversion"/>
  </si>
  <si>
    <t>IPAZEB</t>
    <phoneticPr fontId="3" type="noConversion"/>
  </si>
  <si>
    <t>CW_03</t>
    <phoneticPr fontId="3" type="noConversion"/>
  </si>
  <si>
    <t>표준</t>
    <phoneticPr fontId="3" type="noConversion"/>
  </si>
  <si>
    <t>일반간봉_일반ALU</t>
    <phoneticPr fontId="3" type="noConversion"/>
  </si>
  <si>
    <t>IPAZEB</t>
    <phoneticPr fontId="3" type="noConversion"/>
  </si>
  <si>
    <t>CW_04</t>
    <phoneticPr fontId="3" type="noConversion"/>
  </si>
  <si>
    <t>표준</t>
    <phoneticPr fontId="3" type="noConversion"/>
  </si>
  <si>
    <t>단열간봉_일반ALU</t>
    <phoneticPr fontId="3" type="noConversion"/>
  </si>
  <si>
    <t>IPAZEB</t>
    <phoneticPr fontId="3" type="noConversion"/>
  </si>
  <si>
    <t>CW_05</t>
    <phoneticPr fontId="3" type="noConversion"/>
  </si>
  <si>
    <t>표준</t>
    <phoneticPr fontId="3" type="noConversion"/>
  </si>
  <si>
    <t>일반간봉_STS</t>
    <phoneticPr fontId="3" type="noConversion"/>
  </si>
  <si>
    <t>IPAZEB</t>
    <phoneticPr fontId="3" type="noConversion"/>
  </si>
  <si>
    <t>CW_06</t>
    <phoneticPr fontId="3" type="noConversion"/>
  </si>
  <si>
    <t>단열간봉_STS</t>
    <phoneticPr fontId="3" type="noConversion"/>
  </si>
  <si>
    <t>CW_07</t>
    <phoneticPr fontId="3" type="noConversion"/>
  </si>
  <si>
    <t>인증</t>
    <phoneticPr fontId="3" type="noConversion"/>
  </si>
  <si>
    <t>JA-192</t>
    <phoneticPr fontId="3" type="noConversion"/>
  </si>
  <si>
    <t>중앙알텍</t>
    <phoneticPr fontId="3" type="noConversion"/>
  </si>
  <si>
    <t>CW_08</t>
    <phoneticPr fontId="3" type="noConversion"/>
  </si>
  <si>
    <t>인증</t>
    <phoneticPr fontId="3" type="noConversion"/>
  </si>
  <si>
    <t>HS162</t>
    <phoneticPr fontId="3" type="noConversion"/>
  </si>
  <si>
    <t>㈜ 한솔HWD</t>
    <phoneticPr fontId="3" type="noConversion"/>
  </si>
  <si>
    <t>CW_09</t>
    <phoneticPr fontId="3" type="noConversion"/>
  </si>
  <si>
    <t>KYE-CWP42T_155</t>
    <phoneticPr fontId="3" type="noConversion"/>
  </si>
  <si>
    <t>건양엔지니어링</t>
    <phoneticPr fontId="3" type="noConversion"/>
  </si>
  <si>
    <t>CW_10</t>
    <phoneticPr fontId="3" type="noConversion"/>
  </si>
  <si>
    <t>인증</t>
    <phoneticPr fontId="3" type="noConversion"/>
  </si>
  <si>
    <t>KYE-CWP43TG_180</t>
    <phoneticPr fontId="3" type="noConversion"/>
  </si>
  <si>
    <t>건양엔지니어링</t>
    <phoneticPr fontId="3" type="noConversion"/>
  </si>
  <si>
    <t>CW_11</t>
    <phoneticPr fontId="3" type="noConversion"/>
  </si>
  <si>
    <t>WJ-AFP173CH-T08</t>
    <phoneticPr fontId="3" type="noConversion"/>
  </si>
  <si>
    <t>원진알미늄</t>
    <phoneticPr fontId="3" type="noConversion"/>
  </si>
  <si>
    <r>
      <rPr>
        <sz val="9"/>
        <rFont val="Calibri"/>
        <family val="3"/>
        <charset val="161"/>
      </rPr>
      <t>Ψ</t>
    </r>
    <r>
      <rPr>
        <vertAlign val="subscript"/>
        <sz val="9"/>
        <rFont val="맑은 고딕"/>
        <family val="3"/>
        <charset val="129"/>
        <scheme val="minor"/>
      </rPr>
      <t>g,</t>
    </r>
    <r>
      <rPr>
        <vertAlign val="subscript"/>
        <sz val="9"/>
        <rFont val="Calibri"/>
        <family val="3"/>
      </rPr>
      <t>fix</t>
    </r>
    <phoneticPr fontId="3" type="noConversion"/>
  </si>
  <si>
    <r>
      <rPr>
        <sz val="9"/>
        <rFont val="Calibri"/>
        <family val="3"/>
        <charset val="161"/>
      </rPr>
      <t>Ψ</t>
    </r>
    <r>
      <rPr>
        <vertAlign val="subscript"/>
        <sz val="9"/>
        <rFont val="맑은 고딕"/>
        <family val="3"/>
        <charset val="129"/>
        <scheme val="minor"/>
      </rPr>
      <t>g,</t>
    </r>
    <r>
      <rPr>
        <vertAlign val="subscript"/>
        <sz val="9"/>
        <rFont val="Calibri"/>
        <family val="3"/>
      </rPr>
      <t>t</t>
    </r>
    <phoneticPr fontId="3" type="noConversion"/>
  </si>
  <si>
    <r>
      <rPr>
        <sz val="9"/>
        <rFont val="Calibri"/>
        <family val="3"/>
        <charset val="161"/>
      </rPr>
      <t>Ψ</t>
    </r>
    <r>
      <rPr>
        <vertAlign val="subscript"/>
        <sz val="9"/>
        <rFont val="맑은 고딕"/>
        <family val="3"/>
        <charset val="129"/>
        <scheme val="minor"/>
      </rPr>
      <t>g,</t>
    </r>
    <r>
      <rPr>
        <vertAlign val="subscript"/>
        <sz val="9"/>
        <rFont val="Calibri"/>
        <family val="3"/>
      </rPr>
      <t>fix</t>
    </r>
    <phoneticPr fontId="3" type="noConversion"/>
  </si>
  <si>
    <r>
      <rPr>
        <sz val="9"/>
        <rFont val="Calibri"/>
        <family val="3"/>
        <charset val="161"/>
      </rPr>
      <t>Ψ</t>
    </r>
    <r>
      <rPr>
        <vertAlign val="subscript"/>
        <sz val="9"/>
        <rFont val="맑은 고딕"/>
        <family val="3"/>
        <charset val="129"/>
        <scheme val="minor"/>
      </rPr>
      <t>g,</t>
    </r>
    <r>
      <rPr>
        <vertAlign val="subscript"/>
        <sz val="9"/>
        <rFont val="Calibri"/>
        <family val="3"/>
      </rPr>
      <t>t</t>
    </r>
    <phoneticPr fontId="3" type="noConversion"/>
  </si>
  <si>
    <t>[W/m·K]</t>
    <phoneticPr fontId="3" type="noConversion"/>
  </si>
  <si>
    <t>[W/m·K]</t>
    <phoneticPr fontId="3" type="noConversion"/>
  </si>
  <si>
    <t>[W/m·K]</t>
    <phoneticPr fontId="3" type="noConversion"/>
  </si>
  <si>
    <t>[W/m·K]</t>
    <phoneticPr fontId="3" type="noConversion"/>
  </si>
  <si>
    <t>[W/m·K]</t>
    <phoneticPr fontId="3" type="noConversion"/>
  </si>
  <si>
    <r>
      <t>[W/m</t>
    </r>
    <r>
      <rPr>
        <vertAlign val="superscript"/>
        <sz val="9"/>
        <color theme="1"/>
        <rFont val="맑은 고딕"/>
        <family val="3"/>
        <charset val="129"/>
        <scheme val="major"/>
      </rPr>
      <t>2</t>
    </r>
    <r>
      <rPr>
        <sz val="9"/>
        <color theme="1"/>
        <rFont val="맑은 고딕"/>
        <family val="3"/>
        <charset val="129"/>
        <scheme val="major"/>
      </rPr>
      <t>∙K]</t>
    </r>
    <phoneticPr fontId="3" type="noConversion"/>
  </si>
  <si>
    <r>
      <t>U</t>
    </r>
    <r>
      <rPr>
        <vertAlign val="subscript"/>
        <sz val="9"/>
        <color theme="1"/>
        <rFont val="맑은 고딕"/>
        <family val="3"/>
        <charset val="129"/>
        <scheme val="major"/>
      </rPr>
      <t>mt</t>
    </r>
    <phoneticPr fontId="3" type="noConversion"/>
  </si>
  <si>
    <r>
      <t>d</t>
    </r>
    <r>
      <rPr>
        <vertAlign val="subscript"/>
        <sz val="9"/>
        <color theme="1"/>
        <rFont val="맑은 고딕"/>
        <family val="3"/>
        <charset val="129"/>
        <scheme val="major"/>
      </rPr>
      <t>B</t>
    </r>
    <phoneticPr fontId="3" type="noConversion"/>
  </si>
  <si>
    <t>[m]</t>
    <phoneticPr fontId="3" type="noConversion"/>
  </si>
  <si>
    <t>커튼월창프레임</t>
    <phoneticPr fontId="3" type="noConversion"/>
  </si>
  <si>
    <t>이미지_설치열교</t>
    <phoneticPr fontId="3" type="noConversion"/>
  </si>
  <si>
    <t>기호</t>
    <phoneticPr fontId="3" type="noConversion"/>
  </si>
  <si>
    <t>단위</t>
    <phoneticPr fontId="3" type="noConversion"/>
  </si>
  <si>
    <t>기호</t>
    <phoneticPr fontId="3" type="noConversion"/>
  </si>
  <si>
    <t>단위</t>
    <phoneticPr fontId="3" type="noConversion"/>
  </si>
  <si>
    <t>중간</t>
    <phoneticPr fontId="3" type="noConversion"/>
  </si>
  <si>
    <t>내부측</t>
    <phoneticPr fontId="3" type="noConversion"/>
  </si>
  <si>
    <t>외단열</t>
    <phoneticPr fontId="3" type="noConversion"/>
  </si>
  <si>
    <t>외부측</t>
    <phoneticPr fontId="3" type="noConversion"/>
  </si>
  <si>
    <t>images/CWInstall/image4.png</t>
    <phoneticPr fontId="3" type="noConversion"/>
  </si>
  <si>
    <t>images/CWInstall/image5.png</t>
  </si>
  <si>
    <t>images/CWInstall/image6.png</t>
  </si>
  <si>
    <t>images/CWInstall/image7.png</t>
  </si>
  <si>
    <t>images/CWInstall/image8.png</t>
  </si>
  <si>
    <t>images/CWInstall/image9.png</t>
  </si>
  <si>
    <t>images/CWInstall/image10.png</t>
  </si>
  <si>
    <t>images/CWInstall/image11.png</t>
  </si>
  <si>
    <t>images/CWInstall/image12.png</t>
  </si>
  <si>
    <t>images/CWInstall/image13.png</t>
  </si>
  <si>
    <t>images/CWInstall/image14.png</t>
  </si>
  <si>
    <t>images/CWInstall/image15.png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</si>
</sst>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00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theme="1"/>
      <name val="바탕체"/>
      <family val="2"/>
      <charset val="129"/>
    </font>
    <font>
      <sz val="10"/>
      <name val="Arial"/>
      <family val="2"/>
    </font>
    <font>
      <sz val="10"/>
      <name val="MS Sans Serif"/>
      <family val="2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vertAlign val="subscript"/>
      <sz val="9"/>
      <color theme="1"/>
      <name val="맑은 고딕"/>
      <family val="3"/>
      <charset val="129"/>
      <scheme val="major"/>
    </font>
    <font>
      <vertAlign val="superscript"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3"/>
      <charset val="161"/>
      <scheme val="minor"/>
    </font>
    <font>
      <sz val="9"/>
      <name val="Calibri"/>
      <family val="3"/>
      <charset val="161"/>
    </font>
    <font>
      <vertAlign val="subscript"/>
      <sz val="9"/>
      <name val="맑은 고딕"/>
      <family val="3"/>
      <charset val="129"/>
      <scheme val="minor"/>
    </font>
    <font>
      <vertAlign val="subscript"/>
      <sz val="9"/>
      <name val="Calibri"/>
      <family val="3"/>
    </font>
    <font>
      <sz val="9"/>
      <name val="Calibri"/>
      <family val="3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61"/>
      <scheme val="major"/>
    </font>
    <font>
      <sz val="9"/>
      <color theme="1"/>
      <name val="Calibri"/>
      <family val="3"/>
      <charset val="16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69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6" fillId="0" borderId="0">
      <alignment vertical="center"/>
    </xf>
    <xf numFmtId="0" fontId="1" fillId="3" borderId="1">
      <alignment horizontal="center" vertical="center"/>
    </xf>
    <xf numFmtId="0" fontId="5" fillId="5" borderId="3">
      <alignment horizontal="center" vertical="center"/>
    </xf>
    <xf numFmtId="0" fontId="5" fillId="4" borderId="3">
      <alignment horizontal="center" vertical="center"/>
    </xf>
    <xf numFmtId="0" fontId="5" fillId="6" borderId="3">
      <alignment horizontal="center"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0" borderId="0"/>
  </cellStyleXfs>
  <cellXfs count="48">
    <xf numFmtId="0" fontId="0" fillId="0" borderId="0" xfId="0">
      <alignment vertical="center"/>
    </xf>
    <xf numFmtId="0" fontId="0" fillId="0" borderId="0" xfId="0">
      <alignment vertical="center"/>
    </xf>
    <xf numFmtId="0" fontId="11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/>
    </xf>
    <xf numFmtId="0" fontId="22" fillId="8" borderId="5" xfId="0" applyFont="1" applyFill="1" applyBorder="1" applyAlignment="1">
      <alignment horizontal="center" vertical="center" wrapText="1" readingOrder="1"/>
    </xf>
    <xf numFmtId="0" fontId="9" fillId="8" borderId="5" xfId="0" applyFont="1" applyFill="1" applyBorder="1">
      <alignment vertical="center"/>
    </xf>
    <xf numFmtId="0" fontId="22" fillId="8" borderId="2" xfId="0" applyFont="1" applyFill="1" applyBorder="1" applyAlignment="1">
      <alignment horizontal="center" vertical="center" wrapText="1" readingOrder="1"/>
    </xf>
    <xf numFmtId="0" fontId="9" fillId="8" borderId="2" xfId="0" applyFont="1" applyFill="1" applyBorder="1">
      <alignment vertical="center"/>
    </xf>
    <xf numFmtId="0" fontId="15" fillId="0" borderId="5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3" fillId="7" borderId="4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/>
    </xf>
    <xf numFmtId="2" fontId="9" fillId="8" borderId="5" xfId="0" applyNumberFormat="1" applyFont="1" applyFill="1" applyBorder="1" applyAlignment="1">
      <alignment horizontal="center" vertical="center"/>
    </xf>
    <xf numFmtId="2" fontId="9" fillId="8" borderId="2" xfId="0" applyNumberFormat="1" applyFont="1" applyFill="1" applyBorder="1" applyAlignment="1">
      <alignment horizontal="center" vertical="center"/>
    </xf>
    <xf numFmtId="176" fontId="9" fillId="8" borderId="5" xfId="0" applyNumberFormat="1" applyFont="1" applyFill="1" applyBorder="1">
      <alignment vertical="center"/>
    </xf>
    <xf numFmtId="176" fontId="9" fillId="8" borderId="2" xfId="0" applyNumberFormat="1" applyFont="1" applyFill="1" applyBorder="1">
      <alignment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176" fontId="15" fillId="0" borderId="5" xfId="0" applyNumberFormat="1" applyFont="1" applyFill="1" applyBorder="1" applyAlignment="1">
      <alignment horizontal="center" vertical="center"/>
    </xf>
    <xf numFmtId="176" fontId="15" fillId="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2" fontId="10" fillId="8" borderId="5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21" fillId="7" borderId="6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</cellXfs>
  <cellStyles count="69">
    <cellStyle name="Standard 2" xfId="68"/>
    <cellStyle name="Standard_HWB Kurzverf. Formular" xfId="64"/>
    <cellStyle name="계산값" xfId="8"/>
    <cellStyle name="보통 2" xfId="67"/>
    <cellStyle name="선택값" xfId="6"/>
    <cellStyle name="쉼표 [0] 2" xfId="12"/>
    <cellStyle name="쉼표 [0] 2 2" xfId="15"/>
    <cellStyle name="쉼표 [0] 2 2 2" xfId="21"/>
    <cellStyle name="쉼표 [0] 2 2 2 2" xfId="35"/>
    <cellStyle name="쉼표 [0] 2 2 2 2 2" xfId="61"/>
    <cellStyle name="쉼표 [0] 2 2 2 3" xfId="48"/>
    <cellStyle name="쉼표 [0] 2 2 3" xfId="29"/>
    <cellStyle name="쉼표 [0] 2 2 3 2" xfId="55"/>
    <cellStyle name="쉼표 [0] 2 2 4" xfId="42"/>
    <cellStyle name="쉼표 [0] 2 3" xfId="18"/>
    <cellStyle name="쉼표 [0] 2 3 2" xfId="32"/>
    <cellStyle name="쉼표 [0] 2 3 2 2" xfId="58"/>
    <cellStyle name="쉼표 [0] 2 3 3" xfId="45"/>
    <cellStyle name="쉼표 [0] 2 4" xfId="26"/>
    <cellStyle name="쉼표 [0] 2 4 2" xfId="52"/>
    <cellStyle name="쉼표 [0] 2 5" xfId="39"/>
    <cellStyle name="쉼표 [0] 2 6" xfId="66"/>
    <cellStyle name="쉼표 [0] 3" xfId="11"/>
    <cellStyle name="쉼표 [0] 3 2" xfId="14"/>
    <cellStyle name="쉼표 [0] 3 2 2" xfId="20"/>
    <cellStyle name="쉼표 [0] 3 2 2 2" xfId="34"/>
    <cellStyle name="쉼표 [0] 3 2 2 2 2" xfId="60"/>
    <cellStyle name="쉼표 [0] 3 2 2 3" xfId="47"/>
    <cellStyle name="쉼표 [0] 3 2 3" xfId="28"/>
    <cellStyle name="쉼표 [0] 3 2 3 2" xfId="54"/>
    <cellStyle name="쉼표 [0] 3 2 4" xfId="41"/>
    <cellStyle name="쉼표 [0] 3 3" xfId="17"/>
    <cellStyle name="쉼표 [0] 3 3 2" xfId="31"/>
    <cellStyle name="쉼표 [0] 3 3 2 2" xfId="57"/>
    <cellStyle name="쉼표 [0] 3 3 3" xfId="44"/>
    <cellStyle name="쉼표 [0] 3 4" xfId="25"/>
    <cellStyle name="쉼표 [0] 3 4 2" xfId="51"/>
    <cellStyle name="쉼표 [0] 3 5" xfId="38"/>
    <cellStyle name="쉼표 [0] 4" xfId="10"/>
    <cellStyle name="쉼표 [0] 4 2" xfId="16"/>
    <cellStyle name="쉼표 [0] 4 2 2" xfId="30"/>
    <cellStyle name="쉼표 [0] 4 2 2 2" xfId="56"/>
    <cellStyle name="쉼표 [0] 4 2 3" xfId="43"/>
    <cellStyle name="쉼표 [0] 4 3" xfId="24"/>
    <cellStyle name="쉼표 [0] 4 3 2" xfId="50"/>
    <cellStyle name="쉼표 [0] 4 4" xfId="37"/>
    <cellStyle name="쉼표 [0] 5" xfId="13"/>
    <cellStyle name="쉼표 [0] 5 2" xfId="19"/>
    <cellStyle name="쉼표 [0] 5 2 2" xfId="33"/>
    <cellStyle name="쉼표 [0] 5 2 2 2" xfId="59"/>
    <cellStyle name="쉼표 [0] 5 2 3" xfId="46"/>
    <cellStyle name="쉼표 [0] 5 3" xfId="27"/>
    <cellStyle name="쉼표 [0] 5 3 2" xfId="53"/>
    <cellStyle name="쉼표 [0] 5 4" xfId="40"/>
    <cellStyle name="쉼표 [0] 6" xfId="23"/>
    <cellStyle name="쉼표 [0] 6 2" xfId="36"/>
    <cellStyle name="쉼표 [0] 6 2 2" xfId="62"/>
    <cellStyle name="쉼표 [0] 6 3" xfId="49"/>
    <cellStyle name="쉼표 [0] 7" xfId="65"/>
    <cellStyle name="쉼표 [0] 8" xfId="63"/>
    <cellStyle name="쉼표 [0] 9" xfId="2"/>
    <cellStyle name="입력값" xfId="7"/>
    <cellStyle name="입력값 2" xfId="5"/>
    <cellStyle name="표준" xfId="0" builtinId="0"/>
    <cellStyle name="표준 2" xfId="1"/>
    <cellStyle name="표준 2 2" xfId="3"/>
    <cellStyle name="표준 2 3" xfId="9"/>
    <cellStyle name="표준 2 3 2" xfId="22"/>
    <cellStyle name="표준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</xdr:rowOff>
    </xdr:from>
    <xdr:to>
      <xdr:col>2</xdr:col>
      <xdr:colOff>5744</xdr:colOff>
      <xdr:row>1</xdr:row>
      <xdr:rowOff>1884465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219075"/>
          <a:ext cx="1863119" cy="18749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1861410</xdr:colOff>
      <xdr:row>2</xdr:row>
      <xdr:rowOff>1908000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105025"/>
          <a:ext cx="1861410" cy="1908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1860707</xdr:colOff>
      <xdr:row>3</xdr:row>
      <xdr:rowOff>1908000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4419600"/>
          <a:ext cx="1860707" cy="190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895474" cy="4458086"/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1062"/>
        <a:stretch/>
      </xdr:blipFill>
      <xdr:spPr>
        <a:xfrm>
          <a:off x="1962150" y="209550"/>
          <a:ext cx="1895474" cy="445808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1895474" cy="4458086"/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1062"/>
        <a:stretch/>
      </xdr:blipFill>
      <xdr:spPr>
        <a:xfrm>
          <a:off x="1962150" y="4657725"/>
          <a:ext cx="1895474" cy="4458086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3</xdr:row>
      <xdr:rowOff>0</xdr:rowOff>
    </xdr:from>
    <xdr:to>
      <xdr:col>2</xdr:col>
      <xdr:colOff>1866900</xdr:colOff>
      <xdr:row>4</xdr:row>
      <xdr:rowOff>9911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192" r="20241"/>
        <a:stretch/>
      </xdr:blipFill>
      <xdr:spPr>
        <a:xfrm>
          <a:off x="1962150" y="9105900"/>
          <a:ext cx="1866900" cy="44580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.%20&#50672;&#44396;&#44284;&#51228;\54.%20&#44592;&#51316;&#44148;&#47932;&#50640;&#45320;&#51648;&#47532;&#47784;&#45944;&#47553;\04.4&#52264;&#45380;&#46020;\03.&#49892;&#51613;&#44148;&#47932;\02.&#54868;&#44257;119\&#51089;&#50629;\&#51089;&#50629;_ver8\1.&#50836;&#44396;&#47049;Tool_ve3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인"/>
      <sheetName val="건물정보"/>
      <sheetName val="건물정보생성"/>
      <sheetName val="메인index"/>
      <sheetName val="건물index"/>
      <sheetName val="커튼월리스트"/>
      <sheetName val="구조체_커튼월"/>
      <sheetName val="커튼월추가정보"/>
      <sheetName val="커튼월생성"/>
      <sheetName val="커튼월입력"/>
      <sheetName val="커튼월index"/>
      <sheetName val="커튼월치수정보"/>
      <sheetName val="커튼월자재DB"/>
      <sheetName val="커튼월자재이미지"/>
      <sheetName val="외벽리스트"/>
      <sheetName val="구조체_외벽"/>
      <sheetName val="열교_외벽"/>
      <sheetName val="외벽생성"/>
      <sheetName val="외벽index"/>
      <sheetName val="외벽열교DB"/>
      <sheetName val="외벽열교이미지"/>
      <sheetName val="지붕리스트"/>
      <sheetName val="구조체_지붕"/>
      <sheetName val="열교_지붕"/>
      <sheetName val="지붕생성"/>
      <sheetName val="지붕index"/>
      <sheetName val="지붕열교DB"/>
      <sheetName val="지붕열교이미지"/>
      <sheetName val="바닥리스트"/>
      <sheetName val="구조체_바닥"/>
      <sheetName val="열교_바닥"/>
      <sheetName val="바닥생성"/>
      <sheetName val="바닥열교DB"/>
      <sheetName val="바닥index"/>
      <sheetName val="바닥열교이미지"/>
      <sheetName val="창호리스트"/>
      <sheetName val="구조체_창호"/>
      <sheetName val="창호생성"/>
      <sheetName val="프레임계산"/>
      <sheetName val="창호치수정보"/>
      <sheetName val="창호입력"/>
      <sheetName val="창호자재DB"/>
      <sheetName val="창호index"/>
      <sheetName val="창호자재이미지"/>
      <sheetName val="출입문리스트"/>
      <sheetName val="구조체_출입문"/>
      <sheetName val="출입문생성"/>
      <sheetName val="출입문index"/>
      <sheetName val="출입문자재DB"/>
      <sheetName val="출입문자재이미지"/>
      <sheetName val="3D모델"/>
      <sheetName val="음영"/>
      <sheetName val="차양"/>
      <sheetName val="차양이미지"/>
      <sheetName val="음영차양생성"/>
      <sheetName val="층리스트"/>
      <sheetName val="존리스트"/>
      <sheetName val="존일반"/>
      <sheetName val="존index"/>
      <sheetName val="축열기밀"/>
      <sheetName val="외피index"/>
      <sheetName val="용도프로필"/>
      <sheetName val="비냉난방존내벽"/>
      <sheetName val="01.건물"/>
      <sheetName val="02.패시브기술_외벽"/>
      <sheetName val="부록A.존"/>
      <sheetName val="02.패시브기술_창호"/>
      <sheetName val="건물모델링_기존"/>
      <sheetName val="존외피생성"/>
      <sheetName val="존입력"/>
      <sheetName val="존생성"/>
      <sheetName val="존생성_법규"/>
      <sheetName val="InputData"/>
      <sheetName val="Calculation"/>
      <sheetName val="OutputData"/>
      <sheetName val="난방설비데이터"/>
      <sheetName val="냉방설비데이터"/>
      <sheetName val="월별기후데이터"/>
      <sheetName val="열전도율DB"/>
      <sheetName val="Data"/>
      <sheetName val="존일반index"/>
      <sheetName val="용도프로필index"/>
      <sheetName val="외피창호index"/>
      <sheetName val="용도_수정"/>
      <sheetName val="기후"/>
      <sheetName val="기후_부하"/>
      <sheetName val="기후_시간별"/>
      <sheetName val="리모델링전"/>
      <sheetName val="약산"/>
      <sheetName val="존외피생성_법규"/>
      <sheetName val="InputData_법규"/>
      <sheetName val="Calculation_법규"/>
      <sheetName val="OutputData_법규"/>
      <sheetName val="난방설비데이터_법규"/>
      <sheetName val="냉방설비데이터_법규"/>
      <sheetName val="난방설비입력값_법규"/>
      <sheetName val="대안검토_법규"/>
      <sheetName val="00.진단"/>
      <sheetName val="건물모델링_계획"/>
      <sheetName val="음영_계획"/>
      <sheetName val="차양_계획"/>
      <sheetName val="음영차양생성_계획"/>
      <sheetName val="존생성_계획"/>
      <sheetName val="존외피생성_계획"/>
      <sheetName val="InputData_계획"/>
      <sheetName val="Calculation_계획"/>
      <sheetName val="OutputData_계획"/>
      <sheetName val="난방설비데이터_계획"/>
      <sheetName val="냉방설비데이터_계획"/>
      <sheetName val="대안검토_계획"/>
      <sheetName val="난방설비입력값_계획"/>
      <sheetName val="01.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8"/>
  <sheetViews>
    <sheetView workbookViewId="0">
      <selection activeCell="G32" sqref="G32"/>
    </sheetView>
  </sheetViews>
  <sheetFormatPr defaultRowHeight="16.5" x14ac:dyDescent="0.3"/>
  <cols>
    <col min="2" max="2" width="9" style="1"/>
    <col min="3" max="3" width="16.375" customWidth="1"/>
    <col min="6" max="6" width="9.625" bestFit="1" customWidth="1"/>
  </cols>
  <sheetData>
    <row r="1" spans="1:17" ht="22.5" x14ac:dyDescent="0.3">
      <c r="A1" s="4" t="s">
        <v>4</v>
      </c>
      <c r="B1" s="5" t="s">
        <v>3</v>
      </c>
      <c r="C1" s="4" t="s">
        <v>5</v>
      </c>
      <c r="D1" s="5" t="s">
        <v>6</v>
      </c>
      <c r="E1" s="5" t="s">
        <v>81</v>
      </c>
      <c r="F1" s="5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</row>
    <row r="2" spans="1:17" x14ac:dyDescent="0.3">
      <c r="A2" s="4" t="s">
        <v>202</v>
      </c>
      <c r="B2" s="5"/>
      <c r="C2" s="4"/>
      <c r="D2" s="5"/>
      <c r="E2" s="5"/>
      <c r="F2" s="5"/>
      <c r="G2" s="3" t="s">
        <v>138</v>
      </c>
      <c r="H2" s="3" t="s">
        <v>139</v>
      </c>
      <c r="I2" s="28" t="s">
        <v>140</v>
      </c>
      <c r="J2" s="3" t="s">
        <v>141</v>
      </c>
      <c r="K2" s="3" t="s">
        <v>142</v>
      </c>
    </row>
    <row r="3" spans="1:17" s="1" customFormat="1" x14ac:dyDescent="0.3">
      <c r="A3" s="4" t="s">
        <v>203</v>
      </c>
      <c r="B3" s="5"/>
      <c r="C3" s="4"/>
      <c r="D3" s="5"/>
      <c r="E3" s="5"/>
      <c r="F3" s="5"/>
      <c r="G3" s="3" t="s">
        <v>143</v>
      </c>
      <c r="H3" s="3" t="s">
        <v>143</v>
      </c>
      <c r="I3" s="45" t="s">
        <v>144</v>
      </c>
      <c r="J3" s="3" t="s">
        <v>145</v>
      </c>
      <c r="K3" s="3" t="s">
        <v>146</v>
      </c>
    </row>
    <row r="4" spans="1:17" x14ac:dyDescent="0.3">
      <c r="A4" s="6" t="s">
        <v>147</v>
      </c>
      <c r="B4" s="8" t="s">
        <v>148</v>
      </c>
      <c r="C4" s="8" t="s">
        <v>149</v>
      </c>
      <c r="D4" s="8" t="s">
        <v>150</v>
      </c>
      <c r="E4" s="29" t="s">
        <v>91</v>
      </c>
      <c r="F4" s="30" t="s">
        <v>90</v>
      </c>
      <c r="G4" s="30">
        <v>3.1</v>
      </c>
      <c r="H4" s="30">
        <v>5.2413066202090572</v>
      </c>
      <c r="I4" s="10">
        <v>0.08</v>
      </c>
      <c r="J4" s="10">
        <v>0.06</v>
      </c>
      <c r="K4" s="6">
        <v>0.06</v>
      </c>
    </row>
    <row r="5" spans="1:17" x14ac:dyDescent="0.3">
      <c r="A5" s="6" t="s">
        <v>151</v>
      </c>
      <c r="B5" s="8" t="s">
        <v>152</v>
      </c>
      <c r="C5" s="8" t="s">
        <v>153</v>
      </c>
      <c r="D5" s="8" t="s">
        <v>154</v>
      </c>
      <c r="E5" s="29" t="s">
        <v>91</v>
      </c>
      <c r="F5" s="30" t="s">
        <v>92</v>
      </c>
      <c r="G5" s="30">
        <v>3.1</v>
      </c>
      <c r="H5" s="30">
        <v>5.2413066202090572</v>
      </c>
      <c r="I5" s="10">
        <v>0.06</v>
      </c>
      <c r="J5" s="10">
        <v>0.06</v>
      </c>
      <c r="K5" s="6">
        <v>0.06</v>
      </c>
    </row>
    <row r="6" spans="1:17" x14ac:dyDescent="0.3">
      <c r="A6" s="6" t="s">
        <v>155</v>
      </c>
      <c r="B6" s="8" t="s">
        <v>156</v>
      </c>
      <c r="C6" s="8" t="s">
        <v>157</v>
      </c>
      <c r="D6" s="8" t="s">
        <v>158</v>
      </c>
      <c r="E6" s="29" t="s">
        <v>104</v>
      </c>
      <c r="F6" s="30" t="s">
        <v>90</v>
      </c>
      <c r="G6" s="30">
        <v>4.5</v>
      </c>
      <c r="H6" s="30">
        <v>6.0278745644599292</v>
      </c>
      <c r="I6" s="10">
        <v>0.05</v>
      </c>
      <c r="J6" s="10">
        <v>0.06</v>
      </c>
      <c r="K6" s="6">
        <v>0.06</v>
      </c>
      <c r="L6" s="29"/>
      <c r="M6" s="31"/>
      <c r="N6" s="31"/>
      <c r="O6" s="30"/>
      <c r="P6" s="10"/>
      <c r="Q6" s="10"/>
    </row>
    <row r="7" spans="1:17" x14ac:dyDescent="0.3">
      <c r="A7" s="6" t="s">
        <v>159</v>
      </c>
      <c r="B7" s="8" t="s">
        <v>160</v>
      </c>
      <c r="C7" s="8" t="s">
        <v>161</v>
      </c>
      <c r="D7" s="8" t="s">
        <v>162</v>
      </c>
      <c r="E7" s="29" t="s">
        <v>104</v>
      </c>
      <c r="F7" s="30" t="s">
        <v>92</v>
      </c>
      <c r="G7" s="30">
        <v>4.5</v>
      </c>
      <c r="H7" s="30">
        <v>6.0278745644599292</v>
      </c>
      <c r="I7" s="10">
        <v>3.4999999999999996E-2</v>
      </c>
      <c r="J7" s="10">
        <v>0.06</v>
      </c>
      <c r="K7" s="6">
        <v>0.06</v>
      </c>
    </row>
    <row r="8" spans="1:17" x14ac:dyDescent="0.3">
      <c r="A8" s="6" t="s">
        <v>163</v>
      </c>
      <c r="B8" s="8" t="s">
        <v>164</v>
      </c>
      <c r="C8" s="8" t="s">
        <v>165</v>
      </c>
      <c r="D8" s="8" t="s">
        <v>166</v>
      </c>
      <c r="E8" s="29" t="s">
        <v>103</v>
      </c>
      <c r="F8" s="30" t="s">
        <v>90</v>
      </c>
      <c r="G8" s="30">
        <v>6.7</v>
      </c>
      <c r="H8" s="30">
        <v>6.6027874564459923</v>
      </c>
      <c r="I8" s="10">
        <v>0.02</v>
      </c>
      <c r="J8" s="10">
        <v>0.06</v>
      </c>
      <c r="K8" s="6">
        <v>0.06</v>
      </c>
    </row>
    <row r="9" spans="1:17" x14ac:dyDescent="0.3">
      <c r="A9" s="6" t="s">
        <v>167</v>
      </c>
      <c r="B9" s="8" t="s">
        <v>160</v>
      </c>
      <c r="C9" s="8" t="s">
        <v>168</v>
      </c>
      <c r="D9" s="8" t="s">
        <v>129</v>
      </c>
      <c r="E9" s="29" t="s">
        <v>103</v>
      </c>
      <c r="F9" s="30" t="s">
        <v>92</v>
      </c>
      <c r="G9" s="30">
        <v>6.7</v>
      </c>
      <c r="H9" s="30">
        <v>6.6027874564459923</v>
      </c>
      <c r="I9" s="10">
        <v>0.01</v>
      </c>
      <c r="J9" s="10">
        <v>0.06</v>
      </c>
      <c r="K9" s="6">
        <v>0.06</v>
      </c>
    </row>
    <row r="10" spans="1:17" x14ac:dyDescent="0.3">
      <c r="A10" s="6" t="s">
        <v>169</v>
      </c>
      <c r="B10" s="8" t="s">
        <v>170</v>
      </c>
      <c r="C10" s="8" t="s">
        <v>171</v>
      </c>
      <c r="D10" s="8" t="s">
        <v>172</v>
      </c>
      <c r="E10" s="29" t="s">
        <v>91</v>
      </c>
      <c r="F10" s="30" t="s">
        <v>92</v>
      </c>
      <c r="G10" s="30">
        <v>2.4000000000000004</v>
      </c>
      <c r="H10" s="30">
        <v>1.4483366666666668</v>
      </c>
      <c r="I10" s="10">
        <v>3.9E-2</v>
      </c>
      <c r="J10" s="10">
        <v>0.06</v>
      </c>
      <c r="K10" s="6">
        <v>7.0000000000000007E-2</v>
      </c>
    </row>
    <row r="11" spans="1:17" x14ac:dyDescent="0.3">
      <c r="A11" s="6" t="s">
        <v>173</v>
      </c>
      <c r="B11" s="8" t="s">
        <v>174</v>
      </c>
      <c r="C11" s="8" t="s">
        <v>175</v>
      </c>
      <c r="D11" s="8" t="s">
        <v>176</v>
      </c>
      <c r="E11" s="29" t="s">
        <v>91</v>
      </c>
      <c r="F11" s="30" t="s">
        <v>92</v>
      </c>
      <c r="G11" s="30">
        <v>2.1360000000000001</v>
      </c>
      <c r="H11" s="30">
        <v>7.8472222222222223</v>
      </c>
      <c r="I11" s="10">
        <v>0.05</v>
      </c>
      <c r="J11" s="10">
        <v>0.06</v>
      </c>
      <c r="K11" s="6">
        <v>5.7599999999999998E-2</v>
      </c>
    </row>
    <row r="12" spans="1:17" x14ac:dyDescent="0.3">
      <c r="A12" s="6" t="s">
        <v>177</v>
      </c>
      <c r="B12" s="8" t="s">
        <v>174</v>
      </c>
      <c r="C12" s="8" t="s">
        <v>178</v>
      </c>
      <c r="D12" s="8" t="s">
        <v>179</v>
      </c>
      <c r="E12" s="29" t="s">
        <v>91</v>
      </c>
      <c r="F12" s="30" t="s">
        <v>92</v>
      </c>
      <c r="G12" s="30">
        <v>1.41</v>
      </c>
      <c r="H12" s="30">
        <v>2.1989528795811517</v>
      </c>
      <c r="I12" s="10">
        <v>3.7999999999999999E-2</v>
      </c>
      <c r="J12" s="10">
        <v>0.06</v>
      </c>
      <c r="K12" s="6">
        <v>5.7300000000000004E-2</v>
      </c>
    </row>
    <row r="13" spans="1:17" x14ac:dyDescent="0.3">
      <c r="A13" s="6" t="s">
        <v>180</v>
      </c>
      <c r="B13" s="8" t="s">
        <v>181</v>
      </c>
      <c r="C13" s="8" t="s">
        <v>182</v>
      </c>
      <c r="D13" s="8" t="s">
        <v>183</v>
      </c>
      <c r="E13" s="29" t="s">
        <v>91</v>
      </c>
      <c r="F13" s="30" t="s">
        <v>92</v>
      </c>
      <c r="G13" s="30">
        <v>1.48</v>
      </c>
      <c r="H13" s="30">
        <v>2.3679417122040074</v>
      </c>
      <c r="I13" s="10">
        <v>3.5000000000000003E-2</v>
      </c>
      <c r="J13" s="10">
        <v>0.06</v>
      </c>
      <c r="K13" s="6">
        <v>5.4900000000000004E-2</v>
      </c>
    </row>
    <row r="14" spans="1:17" x14ac:dyDescent="0.3">
      <c r="A14" s="6" t="s">
        <v>184</v>
      </c>
      <c r="B14" s="8" t="s">
        <v>181</v>
      </c>
      <c r="C14" s="8" t="s">
        <v>185</v>
      </c>
      <c r="D14" s="8" t="s">
        <v>186</v>
      </c>
      <c r="E14" s="29" t="s">
        <v>91</v>
      </c>
      <c r="F14" s="30" t="s">
        <v>92</v>
      </c>
      <c r="G14" s="30">
        <v>1.86</v>
      </c>
      <c r="H14" s="30">
        <v>3.6744186046511627</v>
      </c>
      <c r="I14" s="10">
        <v>3.9E-2</v>
      </c>
      <c r="J14" s="10">
        <v>0.06</v>
      </c>
      <c r="K14" s="6">
        <v>6.4500000000000002E-2</v>
      </c>
    </row>
    <row r="18" spans="11:21" x14ac:dyDescent="0.3">
      <c r="K18" s="6"/>
      <c r="L18" s="8"/>
      <c r="M18" s="8"/>
      <c r="N18" s="8"/>
      <c r="O18" s="29"/>
      <c r="P18" s="30"/>
      <c r="Q18" s="30"/>
      <c r="R18" s="30"/>
      <c r="S18" s="10"/>
      <c r="T18" s="10"/>
      <c r="U18" s="6"/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A2" sqref="A2:A3"/>
    </sheetView>
  </sheetViews>
  <sheetFormatPr defaultRowHeight="16.5" x14ac:dyDescent="0.3"/>
  <cols>
    <col min="2" max="2" width="9" style="1"/>
    <col min="4" max="4" width="9" style="1"/>
  </cols>
  <sheetData>
    <row r="1" spans="1:10" ht="22.5" x14ac:dyDescent="0.3">
      <c r="A1" s="16" t="s">
        <v>10</v>
      </c>
      <c r="B1" s="12" t="s">
        <v>9</v>
      </c>
      <c r="C1" s="12" t="s">
        <v>11</v>
      </c>
      <c r="D1" s="12" t="s">
        <v>108</v>
      </c>
      <c r="E1" s="12" t="s">
        <v>12</v>
      </c>
      <c r="F1" s="16" t="s">
        <v>13</v>
      </c>
      <c r="G1" s="14" t="s">
        <v>14</v>
      </c>
      <c r="H1" s="14" t="s">
        <v>15</v>
      </c>
      <c r="I1" s="14" t="s">
        <v>16</v>
      </c>
      <c r="J1" s="14" t="s">
        <v>17</v>
      </c>
    </row>
    <row r="2" spans="1:10" x14ac:dyDescent="0.3">
      <c r="A2" s="4" t="s">
        <v>202</v>
      </c>
      <c r="B2" s="12"/>
      <c r="C2" s="12"/>
      <c r="D2" s="12"/>
      <c r="E2" s="12"/>
      <c r="F2" s="16"/>
      <c r="G2" s="15" t="s">
        <v>187</v>
      </c>
      <c r="H2" s="15" t="s">
        <v>188</v>
      </c>
      <c r="I2" s="15" t="s">
        <v>189</v>
      </c>
      <c r="J2" s="15" t="s">
        <v>190</v>
      </c>
    </row>
    <row r="3" spans="1:10" s="1" customFormat="1" x14ac:dyDescent="0.3">
      <c r="A3" s="4" t="s">
        <v>203</v>
      </c>
      <c r="B3" s="12"/>
      <c r="C3" s="12"/>
      <c r="D3" s="12"/>
      <c r="E3" s="12"/>
      <c r="F3" s="16"/>
      <c r="G3" s="46" t="s">
        <v>191</v>
      </c>
      <c r="H3" s="46" t="s">
        <v>192</v>
      </c>
      <c r="I3" s="46" t="s">
        <v>193</v>
      </c>
      <c r="J3" s="46" t="s">
        <v>194</v>
      </c>
    </row>
    <row r="4" spans="1:10" x14ac:dyDescent="0.3">
      <c r="A4" s="8" t="s">
        <v>18</v>
      </c>
      <c r="B4" s="8" t="s">
        <v>29</v>
      </c>
      <c r="C4" s="8" t="s">
        <v>101</v>
      </c>
      <c r="D4" s="8" t="s">
        <v>106</v>
      </c>
      <c r="E4" s="8" t="s">
        <v>102</v>
      </c>
      <c r="F4" s="17" t="s">
        <v>103</v>
      </c>
      <c r="G4" s="32">
        <v>0.02</v>
      </c>
      <c r="H4" s="18">
        <v>0.02</v>
      </c>
      <c r="I4" s="18">
        <v>0.05</v>
      </c>
      <c r="J4" s="18">
        <v>0.04</v>
      </c>
    </row>
    <row r="5" spans="1:10" x14ac:dyDescent="0.3">
      <c r="A5" s="9" t="s">
        <v>19</v>
      </c>
      <c r="B5" s="8" t="s">
        <v>30</v>
      </c>
      <c r="C5" s="9" t="s">
        <v>101</v>
      </c>
      <c r="D5" s="8" t="s">
        <v>106</v>
      </c>
      <c r="E5" s="9" t="s">
        <v>107</v>
      </c>
      <c r="F5" s="19" t="s">
        <v>104</v>
      </c>
      <c r="G5" s="33">
        <v>0.05</v>
      </c>
      <c r="H5" s="20">
        <v>0.04</v>
      </c>
      <c r="I5" s="20">
        <v>0.08</v>
      </c>
      <c r="J5" s="20">
        <v>0.06</v>
      </c>
    </row>
    <row r="6" spans="1:10" x14ac:dyDescent="0.3">
      <c r="A6" s="9" t="s">
        <v>20</v>
      </c>
      <c r="B6" s="8" t="s">
        <v>31</v>
      </c>
      <c r="C6" s="9" t="s">
        <v>101</v>
      </c>
      <c r="D6" s="8" t="s">
        <v>88</v>
      </c>
      <c r="E6" s="9" t="s">
        <v>102</v>
      </c>
      <c r="F6" s="19" t="s">
        <v>91</v>
      </c>
      <c r="G6" s="33">
        <v>0.08</v>
      </c>
      <c r="H6" s="20">
        <v>0.06</v>
      </c>
      <c r="I6" s="20">
        <v>0.11</v>
      </c>
      <c r="J6" s="20">
        <v>0.08</v>
      </c>
    </row>
    <row r="7" spans="1:10" x14ac:dyDescent="0.3">
      <c r="A7" s="9" t="s">
        <v>21</v>
      </c>
      <c r="B7" s="8" t="s">
        <v>31</v>
      </c>
      <c r="C7" s="9" t="s">
        <v>101</v>
      </c>
      <c r="D7" s="8" t="s">
        <v>88</v>
      </c>
      <c r="E7" s="9" t="s">
        <v>105</v>
      </c>
      <c r="F7" s="19" t="s">
        <v>103</v>
      </c>
      <c r="G7" s="33">
        <v>0.01</v>
      </c>
      <c r="H7" s="20">
        <v>0.01</v>
      </c>
      <c r="I7" s="20">
        <v>0.04</v>
      </c>
      <c r="J7" s="20">
        <v>0.03</v>
      </c>
    </row>
    <row r="8" spans="1:10" x14ac:dyDescent="0.3">
      <c r="A8" s="9" t="s">
        <v>22</v>
      </c>
      <c r="B8" s="8" t="s">
        <v>30</v>
      </c>
      <c r="C8" s="9" t="s">
        <v>101</v>
      </c>
      <c r="D8" s="8" t="s">
        <v>88</v>
      </c>
      <c r="E8" s="9" t="s">
        <v>105</v>
      </c>
      <c r="F8" s="19" t="s">
        <v>104</v>
      </c>
      <c r="G8" s="33">
        <v>3.4999999999999996E-2</v>
      </c>
      <c r="H8" s="20">
        <v>0.03</v>
      </c>
      <c r="I8" s="20">
        <v>0.06</v>
      </c>
      <c r="J8" s="20">
        <v>0.05</v>
      </c>
    </row>
    <row r="9" spans="1:10" x14ac:dyDescent="0.3">
      <c r="A9" s="9" t="s">
        <v>23</v>
      </c>
      <c r="B9" s="8" t="s">
        <v>31</v>
      </c>
      <c r="C9" s="9" t="s">
        <v>101</v>
      </c>
      <c r="D9" s="8" t="s">
        <v>106</v>
      </c>
      <c r="E9" s="9" t="s">
        <v>105</v>
      </c>
      <c r="F9" s="19" t="s">
        <v>91</v>
      </c>
      <c r="G9" s="33">
        <v>0.06</v>
      </c>
      <c r="H9" s="20">
        <v>0.05</v>
      </c>
      <c r="I9" s="20">
        <v>0.08</v>
      </c>
      <c r="J9" s="20">
        <v>0.06</v>
      </c>
    </row>
    <row r="10" spans="1:10" x14ac:dyDescent="0.3">
      <c r="A10" s="9" t="s">
        <v>24</v>
      </c>
      <c r="B10" s="8" t="s">
        <v>7</v>
      </c>
      <c r="C10" s="9" t="s">
        <v>94</v>
      </c>
      <c r="D10" s="8" t="s">
        <v>95</v>
      </c>
      <c r="E10" s="9" t="s">
        <v>105</v>
      </c>
      <c r="F10" s="19" t="s">
        <v>91</v>
      </c>
      <c r="G10" s="33">
        <v>3.9E-2</v>
      </c>
      <c r="H10" s="20">
        <v>0.04</v>
      </c>
      <c r="I10" s="20">
        <f>IF( G10="","", G10)</f>
        <v>3.9E-2</v>
      </c>
      <c r="J10" s="20">
        <f>IF( H10="","", H10)</f>
        <v>0.04</v>
      </c>
    </row>
    <row r="11" spans="1:10" x14ac:dyDescent="0.3">
      <c r="A11" s="9" t="s">
        <v>25</v>
      </c>
      <c r="B11" s="8" t="s">
        <v>7</v>
      </c>
      <c r="C11" s="9" t="s">
        <v>109</v>
      </c>
      <c r="D11" s="8" t="s">
        <v>96</v>
      </c>
      <c r="E11" s="9" t="s">
        <v>105</v>
      </c>
      <c r="F11" s="19" t="s">
        <v>91</v>
      </c>
      <c r="G11" s="33">
        <v>0.05</v>
      </c>
      <c r="H11" s="20">
        <v>4.8000000000000001E-2</v>
      </c>
      <c r="I11" s="20">
        <f t="shared" ref="I11:J14" si="0">IF( G11="","", G11)</f>
        <v>0.05</v>
      </c>
      <c r="J11" s="20">
        <f t="shared" si="0"/>
        <v>4.8000000000000001E-2</v>
      </c>
    </row>
    <row r="12" spans="1:10" x14ac:dyDescent="0.3">
      <c r="A12" s="9" t="s">
        <v>26</v>
      </c>
      <c r="B12" s="8" t="s">
        <v>7</v>
      </c>
      <c r="C12" s="9" t="s">
        <v>97</v>
      </c>
      <c r="D12" s="8" t="s">
        <v>99</v>
      </c>
      <c r="E12" s="9" t="s">
        <v>105</v>
      </c>
      <c r="F12" s="19" t="s">
        <v>91</v>
      </c>
      <c r="G12" s="33">
        <v>3.7999999999999999E-2</v>
      </c>
      <c r="H12" s="20">
        <v>3.5999999999999997E-2</v>
      </c>
      <c r="I12" s="20">
        <f t="shared" si="0"/>
        <v>3.7999999999999999E-2</v>
      </c>
      <c r="J12" s="20">
        <f t="shared" si="0"/>
        <v>3.5999999999999997E-2</v>
      </c>
    </row>
    <row r="13" spans="1:10" x14ac:dyDescent="0.3">
      <c r="A13" s="9" t="s">
        <v>27</v>
      </c>
      <c r="B13" s="8" t="s">
        <v>7</v>
      </c>
      <c r="C13" s="9" t="s">
        <v>98</v>
      </c>
      <c r="D13" s="8" t="s">
        <v>99</v>
      </c>
      <c r="E13" s="9" t="s">
        <v>105</v>
      </c>
      <c r="F13" s="19" t="s">
        <v>91</v>
      </c>
      <c r="G13" s="33">
        <v>3.5000000000000003E-2</v>
      </c>
      <c r="H13" s="20">
        <v>3.2000000000000001E-2</v>
      </c>
      <c r="I13" s="20">
        <f t="shared" si="0"/>
        <v>3.5000000000000003E-2</v>
      </c>
      <c r="J13" s="20">
        <f t="shared" si="0"/>
        <v>3.2000000000000001E-2</v>
      </c>
    </row>
    <row r="14" spans="1:10" x14ac:dyDescent="0.3">
      <c r="A14" s="9" t="s">
        <v>28</v>
      </c>
      <c r="B14" s="8" t="s">
        <v>7</v>
      </c>
      <c r="C14" s="9" t="s">
        <v>110</v>
      </c>
      <c r="D14" s="8" t="s">
        <v>100</v>
      </c>
      <c r="E14" s="9" t="s">
        <v>105</v>
      </c>
      <c r="F14" s="19" t="s">
        <v>91</v>
      </c>
      <c r="G14" s="33">
        <v>3.9E-2</v>
      </c>
      <c r="H14" s="20">
        <v>0.04</v>
      </c>
      <c r="I14" s="20">
        <f t="shared" si="0"/>
        <v>3.9E-2</v>
      </c>
      <c r="J14" s="20">
        <f t="shared" si="0"/>
        <v>0.04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F8" sqref="F8"/>
    </sheetView>
  </sheetViews>
  <sheetFormatPr defaultRowHeight="16.5" x14ac:dyDescent="0.3"/>
  <cols>
    <col min="2" max="2" width="9" style="1"/>
    <col min="7" max="9" width="9" style="38"/>
  </cols>
  <sheetData>
    <row r="1" spans="1:9" ht="22.5" x14ac:dyDescent="0.3">
      <c r="A1" s="11" t="s">
        <v>8</v>
      </c>
      <c r="B1" s="12" t="s">
        <v>9</v>
      </c>
      <c r="C1" s="12" t="s">
        <v>32</v>
      </c>
      <c r="D1" s="12" t="s">
        <v>33</v>
      </c>
      <c r="E1" s="13" t="s">
        <v>34</v>
      </c>
      <c r="F1" s="12" t="s">
        <v>35</v>
      </c>
      <c r="G1" s="14" t="s">
        <v>36</v>
      </c>
      <c r="H1" s="14" t="s">
        <v>37</v>
      </c>
      <c r="I1" s="14" t="s">
        <v>38</v>
      </c>
    </row>
    <row r="2" spans="1:9" x14ac:dyDescent="0.3">
      <c r="A2" s="4" t="s">
        <v>202</v>
      </c>
      <c r="B2" s="12"/>
      <c r="C2" s="12"/>
      <c r="D2" s="12"/>
      <c r="E2" s="13"/>
      <c r="F2" s="12"/>
      <c r="G2" s="15" t="s">
        <v>187</v>
      </c>
      <c r="H2" s="15" t="s">
        <v>190</v>
      </c>
      <c r="I2" s="15" t="s">
        <v>190</v>
      </c>
    </row>
    <row r="3" spans="1:9" s="1" customFormat="1" x14ac:dyDescent="0.3">
      <c r="A3" s="4" t="s">
        <v>203</v>
      </c>
      <c r="B3" s="12"/>
      <c r="C3" s="12"/>
      <c r="D3" s="12"/>
      <c r="E3" s="13"/>
      <c r="F3" s="12"/>
      <c r="G3" s="46" t="s">
        <v>195</v>
      </c>
      <c r="H3" s="46" t="s">
        <v>193</v>
      </c>
      <c r="I3" s="46" t="s">
        <v>192</v>
      </c>
    </row>
    <row r="4" spans="1:9" x14ac:dyDescent="0.3">
      <c r="A4" s="21" t="s">
        <v>112</v>
      </c>
      <c r="B4" s="21" t="s">
        <v>78</v>
      </c>
      <c r="C4" s="21" t="s">
        <v>113</v>
      </c>
      <c r="D4" s="21" t="s">
        <v>0</v>
      </c>
      <c r="E4" s="21" t="s">
        <v>103</v>
      </c>
      <c r="F4" s="21" t="s">
        <v>74</v>
      </c>
      <c r="G4" s="36">
        <v>0.255</v>
      </c>
      <c r="H4" s="36">
        <f>G4</f>
        <v>0.255</v>
      </c>
      <c r="I4" s="36">
        <f>G4</f>
        <v>0.255</v>
      </c>
    </row>
    <row r="5" spans="1:9" x14ac:dyDescent="0.3">
      <c r="A5" s="21" t="s">
        <v>39</v>
      </c>
      <c r="B5" s="21" t="s">
        <v>78</v>
      </c>
      <c r="C5" s="21" t="s">
        <v>111</v>
      </c>
      <c r="D5" s="21" t="s">
        <v>0</v>
      </c>
      <c r="E5" s="21" t="s">
        <v>103</v>
      </c>
      <c r="F5" s="21" t="s">
        <v>75</v>
      </c>
      <c r="G5" s="36">
        <v>0</v>
      </c>
      <c r="H5" s="36">
        <f t="shared" ref="H5:H39" si="0">G5</f>
        <v>0</v>
      </c>
      <c r="I5" s="36">
        <f t="shared" ref="I5:I39" si="1">G5</f>
        <v>0</v>
      </c>
    </row>
    <row r="6" spans="1:9" x14ac:dyDescent="0.3">
      <c r="A6" s="21" t="s">
        <v>40</v>
      </c>
      <c r="B6" s="21" t="s">
        <v>78</v>
      </c>
      <c r="C6" s="21" t="s">
        <v>114</v>
      </c>
      <c r="D6" s="21" t="s">
        <v>0</v>
      </c>
      <c r="E6" s="21" t="s">
        <v>103</v>
      </c>
      <c r="F6" s="21" t="s">
        <v>76</v>
      </c>
      <c r="G6" s="36">
        <v>0</v>
      </c>
      <c r="H6" s="36">
        <f t="shared" si="0"/>
        <v>0</v>
      </c>
      <c r="I6" s="36">
        <f t="shared" si="1"/>
        <v>0</v>
      </c>
    </row>
    <row r="7" spans="1:9" x14ac:dyDescent="0.3">
      <c r="A7" s="35" t="s">
        <v>41</v>
      </c>
      <c r="B7" s="21" t="s">
        <v>78</v>
      </c>
      <c r="C7" s="35" t="s">
        <v>111</v>
      </c>
      <c r="D7" s="35" t="s">
        <v>0</v>
      </c>
      <c r="E7" s="35" t="s">
        <v>104</v>
      </c>
      <c r="F7" s="35" t="s">
        <v>74</v>
      </c>
      <c r="G7" s="37">
        <v>0.32100000000000001</v>
      </c>
      <c r="H7" s="37">
        <f t="shared" si="0"/>
        <v>0.32100000000000001</v>
      </c>
      <c r="I7" s="37">
        <f t="shared" si="1"/>
        <v>0.32100000000000001</v>
      </c>
    </row>
    <row r="8" spans="1:9" x14ac:dyDescent="0.3">
      <c r="A8" s="35" t="s">
        <v>42</v>
      </c>
      <c r="B8" s="21" t="s">
        <v>78</v>
      </c>
      <c r="C8" s="35" t="s">
        <v>115</v>
      </c>
      <c r="D8" s="35" t="s">
        <v>0</v>
      </c>
      <c r="E8" s="35" t="s">
        <v>104</v>
      </c>
      <c r="F8" s="35" t="s">
        <v>75</v>
      </c>
      <c r="G8" s="37">
        <v>3.2000000000000001E-2</v>
      </c>
      <c r="H8" s="37">
        <f t="shared" si="0"/>
        <v>3.2000000000000001E-2</v>
      </c>
      <c r="I8" s="37">
        <f t="shared" si="1"/>
        <v>3.2000000000000001E-2</v>
      </c>
    </row>
    <row r="9" spans="1:9" x14ac:dyDescent="0.3">
      <c r="A9" s="35" t="s">
        <v>43</v>
      </c>
      <c r="B9" s="21" t="s">
        <v>78</v>
      </c>
      <c r="C9" s="35" t="s">
        <v>116</v>
      </c>
      <c r="D9" s="35" t="s">
        <v>0</v>
      </c>
      <c r="E9" s="35" t="s">
        <v>104</v>
      </c>
      <c r="F9" s="35" t="s">
        <v>76</v>
      </c>
      <c r="G9" s="37">
        <v>0</v>
      </c>
      <c r="H9" s="37">
        <f t="shared" si="0"/>
        <v>0</v>
      </c>
      <c r="I9" s="37">
        <f t="shared" si="1"/>
        <v>0</v>
      </c>
    </row>
    <row r="10" spans="1:9" x14ac:dyDescent="0.3">
      <c r="A10" s="35" t="s">
        <v>44</v>
      </c>
      <c r="B10" s="21" t="s">
        <v>78</v>
      </c>
      <c r="C10" s="35" t="s">
        <v>115</v>
      </c>
      <c r="D10" s="35" t="s">
        <v>0</v>
      </c>
      <c r="E10" s="35" t="s">
        <v>91</v>
      </c>
      <c r="F10" s="21" t="s">
        <v>74</v>
      </c>
      <c r="G10" s="36">
        <v>0.38900000000000001</v>
      </c>
      <c r="H10" s="36">
        <f t="shared" si="0"/>
        <v>0.38900000000000001</v>
      </c>
      <c r="I10" s="36">
        <f t="shared" si="1"/>
        <v>0.38900000000000001</v>
      </c>
    </row>
    <row r="11" spans="1:9" x14ac:dyDescent="0.3">
      <c r="A11" s="35" t="s">
        <v>45</v>
      </c>
      <c r="B11" s="21" t="s">
        <v>78</v>
      </c>
      <c r="C11" s="35" t="s">
        <v>117</v>
      </c>
      <c r="D11" s="35" t="s">
        <v>0</v>
      </c>
      <c r="E11" s="35" t="s">
        <v>91</v>
      </c>
      <c r="F11" s="21" t="s">
        <v>75</v>
      </c>
      <c r="G11" s="36">
        <v>8.1000000000000003E-2</v>
      </c>
      <c r="H11" s="36">
        <f t="shared" si="0"/>
        <v>8.1000000000000003E-2</v>
      </c>
      <c r="I11" s="36">
        <f t="shared" si="1"/>
        <v>8.1000000000000003E-2</v>
      </c>
    </row>
    <row r="12" spans="1:9" x14ac:dyDescent="0.3">
      <c r="A12" s="35" t="s">
        <v>46</v>
      </c>
      <c r="B12" s="21" t="s">
        <v>78</v>
      </c>
      <c r="C12" s="35" t="s">
        <v>111</v>
      </c>
      <c r="D12" s="35" t="s">
        <v>0</v>
      </c>
      <c r="E12" s="35" t="s">
        <v>91</v>
      </c>
      <c r="F12" s="21" t="s">
        <v>76</v>
      </c>
      <c r="G12" s="36">
        <v>3.0000000000000001E-3</v>
      </c>
      <c r="H12" s="36">
        <f t="shared" si="0"/>
        <v>3.0000000000000001E-3</v>
      </c>
      <c r="I12" s="36">
        <f t="shared" si="1"/>
        <v>3.0000000000000001E-3</v>
      </c>
    </row>
    <row r="13" spans="1:9" x14ac:dyDescent="0.3">
      <c r="A13" s="35" t="s">
        <v>47</v>
      </c>
      <c r="B13" s="21" t="s">
        <v>78</v>
      </c>
      <c r="C13" s="35" t="s">
        <v>115</v>
      </c>
      <c r="D13" s="35" t="s">
        <v>77</v>
      </c>
      <c r="E13" s="35" t="s">
        <v>103</v>
      </c>
      <c r="F13" s="35" t="s">
        <v>74</v>
      </c>
      <c r="G13" s="37">
        <v>0</v>
      </c>
      <c r="H13" s="37">
        <f t="shared" si="0"/>
        <v>0</v>
      </c>
      <c r="I13" s="37">
        <f t="shared" si="1"/>
        <v>0</v>
      </c>
    </row>
    <row r="14" spans="1:9" x14ac:dyDescent="0.3">
      <c r="A14" s="35" t="s">
        <v>48</v>
      </c>
      <c r="B14" s="21" t="s">
        <v>78</v>
      </c>
      <c r="C14" s="35" t="s">
        <v>113</v>
      </c>
      <c r="D14" s="35" t="s">
        <v>77</v>
      </c>
      <c r="E14" s="35" t="s">
        <v>103</v>
      </c>
      <c r="F14" s="35" t="s">
        <v>75</v>
      </c>
      <c r="G14" s="37">
        <v>1.7000000000000001E-2</v>
      </c>
      <c r="H14" s="37">
        <f t="shared" si="0"/>
        <v>1.7000000000000001E-2</v>
      </c>
      <c r="I14" s="37">
        <f t="shared" si="1"/>
        <v>1.7000000000000001E-2</v>
      </c>
    </row>
    <row r="15" spans="1:9" x14ac:dyDescent="0.3">
      <c r="A15" s="35" t="s">
        <v>49</v>
      </c>
      <c r="B15" s="21" t="s">
        <v>78</v>
      </c>
      <c r="C15" s="35" t="s">
        <v>116</v>
      </c>
      <c r="D15" s="35" t="s">
        <v>77</v>
      </c>
      <c r="E15" s="35" t="s">
        <v>103</v>
      </c>
      <c r="F15" s="35" t="s">
        <v>76</v>
      </c>
      <c r="G15" s="37">
        <v>9.6000000000000002E-2</v>
      </c>
      <c r="H15" s="37">
        <f t="shared" si="0"/>
        <v>9.6000000000000002E-2</v>
      </c>
      <c r="I15" s="37">
        <f t="shared" si="1"/>
        <v>9.6000000000000002E-2</v>
      </c>
    </row>
    <row r="16" spans="1:9" x14ac:dyDescent="0.3">
      <c r="A16" s="21" t="s">
        <v>50</v>
      </c>
      <c r="B16" s="21" t="s">
        <v>78</v>
      </c>
      <c r="C16" s="21" t="s">
        <v>116</v>
      </c>
      <c r="D16" s="21" t="s">
        <v>77</v>
      </c>
      <c r="E16" s="21" t="s">
        <v>104</v>
      </c>
      <c r="F16" s="21" t="s">
        <v>74</v>
      </c>
      <c r="G16" s="36">
        <v>0</v>
      </c>
      <c r="H16" s="36">
        <f t="shared" si="0"/>
        <v>0</v>
      </c>
      <c r="I16" s="36">
        <f t="shared" si="1"/>
        <v>0</v>
      </c>
    </row>
    <row r="17" spans="1:9" x14ac:dyDescent="0.3">
      <c r="A17" s="21" t="s">
        <v>51</v>
      </c>
      <c r="B17" s="21" t="s">
        <v>78</v>
      </c>
      <c r="C17" s="21" t="s">
        <v>118</v>
      </c>
      <c r="D17" s="21" t="s">
        <v>77</v>
      </c>
      <c r="E17" s="21" t="s">
        <v>104</v>
      </c>
      <c r="F17" s="21" t="s">
        <v>75</v>
      </c>
      <c r="G17" s="36">
        <v>0.02</v>
      </c>
      <c r="H17" s="36">
        <f t="shared" si="0"/>
        <v>0.02</v>
      </c>
      <c r="I17" s="36">
        <f t="shared" si="1"/>
        <v>0.02</v>
      </c>
    </row>
    <row r="18" spans="1:9" x14ac:dyDescent="0.3">
      <c r="A18" s="21" t="s">
        <v>52</v>
      </c>
      <c r="B18" s="21" t="s">
        <v>78</v>
      </c>
      <c r="C18" s="21" t="s">
        <v>117</v>
      </c>
      <c r="D18" s="21" t="s">
        <v>77</v>
      </c>
      <c r="E18" s="21" t="s">
        <v>104</v>
      </c>
      <c r="F18" s="21" t="s">
        <v>76</v>
      </c>
      <c r="G18" s="36">
        <v>0.13200000000000001</v>
      </c>
      <c r="H18" s="36">
        <f t="shared" si="0"/>
        <v>0.13200000000000001</v>
      </c>
      <c r="I18" s="36">
        <f t="shared" si="1"/>
        <v>0.13200000000000001</v>
      </c>
    </row>
    <row r="19" spans="1:9" x14ac:dyDescent="0.3">
      <c r="A19" s="35" t="s">
        <v>53</v>
      </c>
      <c r="B19" s="21" t="s">
        <v>78</v>
      </c>
      <c r="C19" s="35" t="s">
        <v>114</v>
      </c>
      <c r="D19" s="35" t="s">
        <v>77</v>
      </c>
      <c r="E19" s="35" t="s">
        <v>91</v>
      </c>
      <c r="F19" s="35" t="s">
        <v>74</v>
      </c>
      <c r="G19" s="37">
        <v>4.0000000000000001E-3</v>
      </c>
      <c r="H19" s="37">
        <f t="shared" si="0"/>
        <v>4.0000000000000001E-3</v>
      </c>
      <c r="I19" s="37">
        <f t="shared" si="1"/>
        <v>4.0000000000000001E-3</v>
      </c>
    </row>
    <row r="20" spans="1:9" x14ac:dyDescent="0.3">
      <c r="A20" s="35" t="s">
        <v>54</v>
      </c>
      <c r="B20" s="21" t="s">
        <v>78</v>
      </c>
      <c r="C20" s="35" t="s">
        <v>113</v>
      </c>
      <c r="D20" s="35" t="s">
        <v>77</v>
      </c>
      <c r="E20" s="35" t="s">
        <v>91</v>
      </c>
      <c r="F20" s="35" t="s">
        <v>75</v>
      </c>
      <c r="G20" s="37">
        <v>2.5999999999999999E-2</v>
      </c>
      <c r="H20" s="37">
        <f t="shared" si="0"/>
        <v>2.5999999999999999E-2</v>
      </c>
      <c r="I20" s="37">
        <f t="shared" si="1"/>
        <v>2.5999999999999999E-2</v>
      </c>
    </row>
    <row r="21" spans="1:9" x14ac:dyDescent="0.3">
      <c r="A21" s="35" t="s">
        <v>55</v>
      </c>
      <c r="B21" s="21" t="s">
        <v>78</v>
      </c>
      <c r="C21" s="35" t="s">
        <v>116</v>
      </c>
      <c r="D21" s="35" t="s">
        <v>77</v>
      </c>
      <c r="E21" s="35" t="s">
        <v>91</v>
      </c>
      <c r="F21" s="35" t="s">
        <v>76</v>
      </c>
      <c r="G21" s="37">
        <v>0.14099999999999999</v>
      </c>
      <c r="H21" s="37">
        <f t="shared" si="0"/>
        <v>0.14099999999999999</v>
      </c>
      <c r="I21" s="37">
        <f t="shared" si="1"/>
        <v>0.14099999999999999</v>
      </c>
    </row>
    <row r="22" spans="1:9" x14ac:dyDescent="0.3">
      <c r="A22" s="35" t="s">
        <v>56</v>
      </c>
      <c r="B22" s="21" t="s">
        <v>78</v>
      </c>
      <c r="C22" s="35" t="s">
        <v>118</v>
      </c>
      <c r="D22" s="35" t="s">
        <v>2</v>
      </c>
      <c r="E22" s="35" t="s">
        <v>103</v>
      </c>
      <c r="F22" s="21" t="s">
        <v>74</v>
      </c>
      <c r="G22" s="36">
        <v>0</v>
      </c>
      <c r="H22" s="36">
        <f t="shared" si="0"/>
        <v>0</v>
      </c>
      <c r="I22" s="36">
        <f t="shared" si="1"/>
        <v>0</v>
      </c>
    </row>
    <row r="23" spans="1:9" x14ac:dyDescent="0.3">
      <c r="A23" s="35" t="s">
        <v>57</v>
      </c>
      <c r="B23" s="21" t="s">
        <v>78</v>
      </c>
      <c r="C23" s="35" t="s">
        <v>113</v>
      </c>
      <c r="D23" s="35" t="s">
        <v>2</v>
      </c>
      <c r="E23" s="35" t="s">
        <v>103</v>
      </c>
      <c r="F23" s="21" t="s">
        <v>75</v>
      </c>
      <c r="G23" s="36">
        <v>0</v>
      </c>
      <c r="H23" s="36">
        <f t="shared" si="0"/>
        <v>0</v>
      </c>
      <c r="I23" s="36">
        <f t="shared" si="1"/>
        <v>0</v>
      </c>
    </row>
    <row r="24" spans="1:9" x14ac:dyDescent="0.3">
      <c r="A24" s="35" t="s">
        <v>58</v>
      </c>
      <c r="B24" s="21" t="s">
        <v>78</v>
      </c>
      <c r="C24" s="35" t="s">
        <v>115</v>
      </c>
      <c r="D24" s="35" t="s">
        <v>2</v>
      </c>
      <c r="E24" s="35" t="s">
        <v>103</v>
      </c>
      <c r="F24" s="21" t="s">
        <v>76</v>
      </c>
      <c r="G24" s="36">
        <v>2.4E-2</v>
      </c>
      <c r="H24" s="36">
        <f t="shared" si="0"/>
        <v>2.4E-2</v>
      </c>
      <c r="I24" s="36">
        <f t="shared" si="1"/>
        <v>2.4E-2</v>
      </c>
    </row>
    <row r="25" spans="1:9" x14ac:dyDescent="0.3">
      <c r="A25" s="35" t="s">
        <v>59</v>
      </c>
      <c r="B25" s="21" t="s">
        <v>78</v>
      </c>
      <c r="C25" s="35" t="s">
        <v>116</v>
      </c>
      <c r="D25" s="35" t="s">
        <v>2</v>
      </c>
      <c r="E25" s="35" t="s">
        <v>104</v>
      </c>
      <c r="F25" s="35" t="s">
        <v>74</v>
      </c>
      <c r="G25" s="37">
        <v>2E-3</v>
      </c>
      <c r="H25" s="37">
        <f t="shared" si="0"/>
        <v>2E-3</v>
      </c>
      <c r="I25" s="37">
        <f t="shared" si="1"/>
        <v>2E-3</v>
      </c>
    </row>
    <row r="26" spans="1:9" x14ac:dyDescent="0.3">
      <c r="A26" s="35" t="s">
        <v>60</v>
      </c>
      <c r="B26" s="21" t="s">
        <v>78</v>
      </c>
      <c r="C26" s="35" t="s">
        <v>111</v>
      </c>
      <c r="D26" s="35" t="s">
        <v>2</v>
      </c>
      <c r="E26" s="35" t="s">
        <v>104</v>
      </c>
      <c r="F26" s="35" t="s">
        <v>75</v>
      </c>
      <c r="G26" s="37">
        <v>0.01</v>
      </c>
      <c r="H26" s="37">
        <f t="shared" si="0"/>
        <v>0.01</v>
      </c>
      <c r="I26" s="37">
        <f t="shared" si="1"/>
        <v>0.01</v>
      </c>
    </row>
    <row r="27" spans="1:9" x14ac:dyDescent="0.3">
      <c r="A27" s="35" t="s">
        <v>61</v>
      </c>
      <c r="B27" s="21" t="s">
        <v>78</v>
      </c>
      <c r="C27" s="35" t="s">
        <v>115</v>
      </c>
      <c r="D27" s="35" t="s">
        <v>2</v>
      </c>
      <c r="E27" s="35" t="s">
        <v>104</v>
      </c>
      <c r="F27" s="35" t="s">
        <v>76</v>
      </c>
      <c r="G27" s="37">
        <v>4.2000000000000003E-2</v>
      </c>
      <c r="H27" s="37">
        <f t="shared" si="0"/>
        <v>4.2000000000000003E-2</v>
      </c>
      <c r="I27" s="37">
        <f t="shared" si="1"/>
        <v>4.2000000000000003E-2</v>
      </c>
    </row>
    <row r="28" spans="1:9" x14ac:dyDescent="0.3">
      <c r="A28" s="21" t="s">
        <v>62</v>
      </c>
      <c r="B28" s="21" t="s">
        <v>78</v>
      </c>
      <c r="C28" s="21" t="s">
        <v>111</v>
      </c>
      <c r="D28" s="21" t="s">
        <v>2</v>
      </c>
      <c r="E28" s="21" t="s">
        <v>91</v>
      </c>
      <c r="F28" s="21" t="s">
        <v>74</v>
      </c>
      <c r="G28" s="36">
        <v>4.8000000000000001E-2</v>
      </c>
      <c r="H28" s="36">
        <f t="shared" si="0"/>
        <v>4.8000000000000001E-2</v>
      </c>
      <c r="I28" s="36">
        <f t="shared" si="1"/>
        <v>4.8000000000000001E-2</v>
      </c>
    </row>
    <row r="29" spans="1:9" x14ac:dyDescent="0.3">
      <c r="A29" s="21" t="s">
        <v>63</v>
      </c>
      <c r="B29" s="21" t="s">
        <v>78</v>
      </c>
      <c r="C29" s="21" t="s">
        <v>111</v>
      </c>
      <c r="D29" s="21" t="s">
        <v>2</v>
      </c>
      <c r="E29" s="21" t="s">
        <v>91</v>
      </c>
      <c r="F29" s="21" t="s">
        <v>75</v>
      </c>
      <c r="G29" s="36">
        <v>4.5999999999999999E-2</v>
      </c>
      <c r="H29" s="36">
        <f t="shared" si="0"/>
        <v>4.5999999999999999E-2</v>
      </c>
      <c r="I29" s="36">
        <f t="shared" si="1"/>
        <v>4.5999999999999999E-2</v>
      </c>
    </row>
    <row r="30" spans="1:9" x14ac:dyDescent="0.3">
      <c r="A30" s="21" t="s">
        <v>64</v>
      </c>
      <c r="B30" s="21" t="s">
        <v>78</v>
      </c>
      <c r="C30" s="21" t="s">
        <v>111</v>
      </c>
      <c r="D30" s="21" t="s">
        <v>2</v>
      </c>
      <c r="E30" s="21" t="s">
        <v>91</v>
      </c>
      <c r="F30" s="21" t="s">
        <v>76</v>
      </c>
      <c r="G30" s="36">
        <v>6.9000000000000006E-2</v>
      </c>
      <c r="H30" s="36">
        <f t="shared" si="0"/>
        <v>6.9000000000000006E-2</v>
      </c>
      <c r="I30" s="36">
        <f t="shared" si="1"/>
        <v>6.9000000000000006E-2</v>
      </c>
    </row>
    <row r="31" spans="1:9" x14ac:dyDescent="0.3">
      <c r="A31" s="35" t="s">
        <v>65</v>
      </c>
      <c r="B31" s="21" t="s">
        <v>78</v>
      </c>
      <c r="C31" s="35" t="s">
        <v>111</v>
      </c>
      <c r="D31" s="35" t="s">
        <v>1</v>
      </c>
      <c r="E31" s="35" t="s">
        <v>103</v>
      </c>
      <c r="F31" s="35" t="s">
        <v>74</v>
      </c>
      <c r="G31" s="37">
        <v>7.2999999999999995E-2</v>
      </c>
      <c r="H31" s="37">
        <f t="shared" si="0"/>
        <v>7.2999999999999995E-2</v>
      </c>
      <c r="I31" s="37">
        <f t="shared" si="1"/>
        <v>7.2999999999999995E-2</v>
      </c>
    </row>
    <row r="32" spans="1:9" x14ac:dyDescent="0.3">
      <c r="A32" s="35" t="s">
        <v>66</v>
      </c>
      <c r="B32" s="21" t="s">
        <v>78</v>
      </c>
      <c r="C32" s="35" t="s">
        <v>113</v>
      </c>
      <c r="D32" s="35" t="s">
        <v>1</v>
      </c>
      <c r="E32" s="35" t="s">
        <v>103</v>
      </c>
      <c r="F32" s="35" t="s">
        <v>75</v>
      </c>
      <c r="G32" s="37">
        <v>9.4E-2</v>
      </c>
      <c r="H32" s="37">
        <f t="shared" si="0"/>
        <v>9.4E-2</v>
      </c>
      <c r="I32" s="37">
        <f t="shared" si="1"/>
        <v>9.4E-2</v>
      </c>
    </row>
    <row r="33" spans="1:9" x14ac:dyDescent="0.3">
      <c r="A33" s="35" t="s">
        <v>67</v>
      </c>
      <c r="B33" s="21" t="s">
        <v>78</v>
      </c>
      <c r="C33" s="35" t="s">
        <v>116</v>
      </c>
      <c r="D33" s="35" t="s">
        <v>1</v>
      </c>
      <c r="E33" s="35" t="s">
        <v>103</v>
      </c>
      <c r="F33" s="35" t="s">
        <v>76</v>
      </c>
      <c r="G33" s="37">
        <v>0.13</v>
      </c>
      <c r="H33" s="37">
        <f t="shared" si="0"/>
        <v>0.13</v>
      </c>
      <c r="I33" s="37">
        <f t="shared" si="1"/>
        <v>0.13</v>
      </c>
    </row>
    <row r="34" spans="1:9" x14ac:dyDescent="0.3">
      <c r="A34" s="35" t="s">
        <v>68</v>
      </c>
      <c r="B34" s="21" t="s">
        <v>78</v>
      </c>
      <c r="C34" s="35" t="s">
        <v>115</v>
      </c>
      <c r="D34" s="35" t="s">
        <v>1</v>
      </c>
      <c r="E34" s="35" t="s">
        <v>104</v>
      </c>
      <c r="F34" s="21" t="s">
        <v>74</v>
      </c>
      <c r="G34" s="36">
        <v>0.11899999999999999</v>
      </c>
      <c r="H34" s="36">
        <f t="shared" si="0"/>
        <v>0.11899999999999999</v>
      </c>
      <c r="I34" s="36">
        <f t="shared" si="1"/>
        <v>0.11899999999999999</v>
      </c>
    </row>
    <row r="35" spans="1:9" x14ac:dyDescent="0.3">
      <c r="A35" s="35" t="s">
        <v>69</v>
      </c>
      <c r="B35" s="21" t="s">
        <v>78</v>
      </c>
      <c r="C35" s="35" t="s">
        <v>113</v>
      </c>
      <c r="D35" s="35" t="s">
        <v>1</v>
      </c>
      <c r="E35" s="35" t="s">
        <v>104</v>
      </c>
      <c r="F35" s="21" t="s">
        <v>75</v>
      </c>
      <c r="G35" s="36">
        <v>0.124</v>
      </c>
      <c r="H35" s="36">
        <f t="shared" si="0"/>
        <v>0.124</v>
      </c>
      <c r="I35" s="36">
        <f t="shared" si="1"/>
        <v>0.124</v>
      </c>
    </row>
    <row r="36" spans="1:9" x14ac:dyDescent="0.3">
      <c r="A36" s="35" t="s">
        <v>70</v>
      </c>
      <c r="B36" s="21" t="s">
        <v>78</v>
      </c>
      <c r="C36" s="35" t="s">
        <v>111</v>
      </c>
      <c r="D36" s="35" t="s">
        <v>1</v>
      </c>
      <c r="E36" s="35" t="s">
        <v>104</v>
      </c>
      <c r="F36" s="21" t="s">
        <v>76</v>
      </c>
      <c r="G36" s="36">
        <v>0.15</v>
      </c>
      <c r="H36" s="36">
        <f t="shared" si="0"/>
        <v>0.15</v>
      </c>
      <c r="I36" s="36">
        <f t="shared" si="1"/>
        <v>0.15</v>
      </c>
    </row>
    <row r="37" spans="1:9" x14ac:dyDescent="0.3">
      <c r="A37" s="35" t="s">
        <v>71</v>
      </c>
      <c r="B37" s="21" t="s">
        <v>78</v>
      </c>
      <c r="C37" s="35" t="s">
        <v>111</v>
      </c>
      <c r="D37" s="35" t="s">
        <v>1</v>
      </c>
      <c r="E37" s="35" t="s">
        <v>91</v>
      </c>
      <c r="F37" s="35" t="s">
        <v>74</v>
      </c>
      <c r="G37" s="37">
        <v>0.16700000000000001</v>
      </c>
      <c r="H37" s="37">
        <f t="shared" si="0"/>
        <v>0.16700000000000001</v>
      </c>
      <c r="I37" s="37">
        <f t="shared" si="1"/>
        <v>0.16700000000000001</v>
      </c>
    </row>
    <row r="38" spans="1:9" x14ac:dyDescent="0.3">
      <c r="A38" s="35" t="s">
        <v>72</v>
      </c>
      <c r="B38" s="21" t="s">
        <v>78</v>
      </c>
      <c r="C38" s="35" t="s">
        <v>115</v>
      </c>
      <c r="D38" s="35" t="s">
        <v>1</v>
      </c>
      <c r="E38" s="35" t="s">
        <v>91</v>
      </c>
      <c r="F38" s="35" t="s">
        <v>75</v>
      </c>
      <c r="G38" s="37">
        <v>0.16800000000000001</v>
      </c>
      <c r="H38" s="37">
        <f t="shared" si="0"/>
        <v>0.16800000000000001</v>
      </c>
      <c r="I38" s="37">
        <f t="shared" si="1"/>
        <v>0.16800000000000001</v>
      </c>
    </row>
    <row r="39" spans="1:9" x14ac:dyDescent="0.3">
      <c r="A39" s="35" t="s">
        <v>73</v>
      </c>
      <c r="B39" s="21" t="s">
        <v>78</v>
      </c>
      <c r="C39" s="35" t="s">
        <v>111</v>
      </c>
      <c r="D39" s="35" t="s">
        <v>1</v>
      </c>
      <c r="E39" s="35" t="s">
        <v>91</v>
      </c>
      <c r="F39" s="35" t="s">
        <v>76</v>
      </c>
      <c r="G39" s="37">
        <v>0.17799999999999999</v>
      </c>
      <c r="H39" s="37">
        <f t="shared" si="0"/>
        <v>0.17799999999999999</v>
      </c>
      <c r="I39" s="37">
        <f t="shared" si="1"/>
        <v>0.17799999999999999</v>
      </c>
    </row>
    <row r="40" spans="1:9" x14ac:dyDescent="0.3">
      <c r="B40" s="34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K7" sqref="K7"/>
    </sheetView>
  </sheetViews>
  <sheetFormatPr defaultRowHeight="16.5" x14ac:dyDescent="0.3"/>
  <cols>
    <col min="2" max="2" width="9" style="1"/>
  </cols>
  <sheetData>
    <row r="1" spans="1:6" ht="22.5" x14ac:dyDescent="0.3">
      <c r="A1" s="39" t="s">
        <v>121</v>
      </c>
      <c r="B1" s="40" t="s">
        <v>9</v>
      </c>
      <c r="C1" s="39" t="s">
        <v>120</v>
      </c>
      <c r="D1" s="41" t="s">
        <v>122</v>
      </c>
      <c r="E1" s="42" t="s">
        <v>123</v>
      </c>
      <c r="F1" s="42" t="s">
        <v>124</v>
      </c>
    </row>
    <row r="2" spans="1:6" x14ac:dyDescent="0.3">
      <c r="A2" s="39" t="s">
        <v>204</v>
      </c>
      <c r="B2" s="40"/>
      <c r="C2" s="39"/>
      <c r="D2" s="41"/>
      <c r="E2" s="43" t="s">
        <v>197</v>
      </c>
      <c r="F2" s="43" t="s">
        <v>198</v>
      </c>
    </row>
    <row r="3" spans="1:6" s="1" customFormat="1" x14ac:dyDescent="0.3">
      <c r="A3" s="39" t="s">
        <v>205</v>
      </c>
      <c r="B3" s="40"/>
      <c r="C3" s="39"/>
      <c r="D3" s="41"/>
      <c r="E3" s="43" t="s">
        <v>196</v>
      </c>
      <c r="F3" s="43" t="s">
        <v>199</v>
      </c>
    </row>
    <row r="4" spans="1:6" x14ac:dyDescent="0.3">
      <c r="A4" s="6" t="s">
        <v>125</v>
      </c>
      <c r="B4" s="6" t="s">
        <v>119</v>
      </c>
      <c r="C4" s="8" t="s">
        <v>89</v>
      </c>
      <c r="D4" s="8" t="s">
        <v>129</v>
      </c>
      <c r="E4" s="30">
        <v>3.1</v>
      </c>
      <c r="F4" s="10">
        <v>0.06</v>
      </c>
    </row>
    <row r="5" spans="1:6" x14ac:dyDescent="0.3">
      <c r="A5" s="7" t="s">
        <v>126</v>
      </c>
      <c r="B5" s="7" t="s">
        <v>119</v>
      </c>
      <c r="C5" s="9" t="s">
        <v>130</v>
      </c>
      <c r="D5" s="9" t="s">
        <v>129</v>
      </c>
      <c r="E5" s="31">
        <v>4.5</v>
      </c>
      <c r="F5" s="10">
        <v>0.06</v>
      </c>
    </row>
    <row r="6" spans="1:6" x14ac:dyDescent="0.3">
      <c r="A6" s="7" t="s">
        <v>127</v>
      </c>
      <c r="B6" s="7" t="s">
        <v>119</v>
      </c>
      <c r="C6" s="9" t="s">
        <v>93</v>
      </c>
      <c r="D6" s="9" t="s">
        <v>88</v>
      </c>
      <c r="E6" s="31">
        <v>6.7</v>
      </c>
      <c r="F6" s="10">
        <v>0.06</v>
      </c>
    </row>
    <row r="7" spans="1:6" x14ac:dyDescent="0.3">
      <c r="A7" s="7" t="s">
        <v>128</v>
      </c>
      <c r="B7" s="7" t="s">
        <v>119</v>
      </c>
      <c r="C7" s="9" t="s">
        <v>131</v>
      </c>
      <c r="D7" s="9" t="s">
        <v>88</v>
      </c>
      <c r="E7" s="31">
        <v>0</v>
      </c>
      <c r="F7" s="44"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4" workbookViewId="0">
      <selection activeCell="F12" sqref="F12"/>
    </sheetView>
  </sheetViews>
  <sheetFormatPr defaultRowHeight="16.5" x14ac:dyDescent="0.3"/>
  <cols>
    <col min="1" max="1" width="9" style="1"/>
    <col min="2" max="2" width="24.75" style="1" customWidth="1"/>
    <col min="3" max="16384" width="9" style="1"/>
  </cols>
  <sheetData>
    <row r="1" spans="1:2" x14ac:dyDescent="0.3">
      <c r="B1" s="38" t="s">
        <v>200</v>
      </c>
    </row>
    <row r="2" spans="1:2" ht="149.25" customHeight="1" x14ac:dyDescent="0.3">
      <c r="A2" s="2" t="s">
        <v>135</v>
      </c>
    </row>
    <row r="3" spans="1:2" ht="151.5" customHeight="1" x14ac:dyDescent="0.3">
      <c r="A3" s="2" t="s">
        <v>136</v>
      </c>
    </row>
    <row r="4" spans="1:2" ht="151.5" customHeight="1" x14ac:dyDescent="0.3">
      <c r="A4" s="2" t="s">
        <v>137</v>
      </c>
    </row>
    <row r="18" spans="1:8" x14ac:dyDescent="0.3">
      <c r="A18" s="9"/>
      <c r="B18" s="9"/>
      <c r="C18" s="29"/>
      <c r="D18" s="31"/>
      <c r="E18" s="31"/>
      <c r="F18" s="30"/>
      <c r="G18" s="10"/>
      <c r="H18" s="10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zoomScaleNormal="100" workbookViewId="0">
      <selection activeCell="L2" sqref="L2"/>
    </sheetView>
  </sheetViews>
  <sheetFormatPr defaultRowHeight="16.5" x14ac:dyDescent="0.3"/>
  <cols>
    <col min="1" max="2" width="9" style="1"/>
    <col min="3" max="3" width="10.25" style="1" customWidth="1"/>
    <col min="4" max="16384" width="9" style="1"/>
  </cols>
  <sheetData>
    <row r="1" spans="1:3" ht="22.5" x14ac:dyDescent="0.3">
      <c r="A1" s="12" t="s">
        <v>33</v>
      </c>
      <c r="B1" s="12" t="s">
        <v>35</v>
      </c>
      <c r="C1" s="47" t="s">
        <v>201</v>
      </c>
    </row>
    <row r="2" spans="1:3" ht="113.25" customHeight="1" x14ac:dyDescent="0.3">
      <c r="A2" s="21" t="s">
        <v>0</v>
      </c>
      <c r="B2" s="21" t="s">
        <v>74</v>
      </c>
      <c r="C2" s="1" t="s">
        <v>210</v>
      </c>
    </row>
    <row r="3" spans="1:3" ht="113.25" customHeight="1" x14ac:dyDescent="0.3">
      <c r="A3" s="21" t="s">
        <v>0</v>
      </c>
      <c r="B3" s="21" t="s">
        <v>206</v>
      </c>
      <c r="C3" s="1" t="s">
        <v>211</v>
      </c>
    </row>
    <row r="4" spans="1:3" ht="113.25" customHeight="1" x14ac:dyDescent="0.3">
      <c r="A4" s="21" t="s">
        <v>0</v>
      </c>
      <c r="B4" s="21" t="s">
        <v>207</v>
      </c>
      <c r="C4" s="1" t="s">
        <v>212</v>
      </c>
    </row>
    <row r="5" spans="1:3" ht="113.25" customHeight="1" x14ac:dyDescent="0.3">
      <c r="A5" s="21" t="s">
        <v>208</v>
      </c>
      <c r="B5" s="21" t="s">
        <v>209</v>
      </c>
      <c r="C5" s="1" t="s">
        <v>213</v>
      </c>
    </row>
    <row r="6" spans="1:3" ht="113.25" customHeight="1" x14ac:dyDescent="0.3">
      <c r="A6" s="21" t="s">
        <v>208</v>
      </c>
      <c r="B6" s="21" t="s">
        <v>206</v>
      </c>
      <c r="C6" s="1" t="s">
        <v>214</v>
      </c>
    </row>
    <row r="7" spans="1:3" ht="113.25" customHeight="1" x14ac:dyDescent="0.3">
      <c r="A7" s="21" t="s">
        <v>208</v>
      </c>
      <c r="B7" s="21" t="s">
        <v>76</v>
      </c>
      <c r="C7" s="1" t="s">
        <v>215</v>
      </c>
    </row>
    <row r="8" spans="1:3" ht="113.25" customHeight="1" x14ac:dyDescent="0.3">
      <c r="A8" s="21" t="s">
        <v>2</v>
      </c>
      <c r="B8" s="21" t="s">
        <v>74</v>
      </c>
      <c r="C8" s="1" t="s">
        <v>216</v>
      </c>
    </row>
    <row r="9" spans="1:3" ht="113.25" customHeight="1" x14ac:dyDescent="0.3">
      <c r="A9" s="21" t="s">
        <v>2</v>
      </c>
      <c r="B9" s="21" t="s">
        <v>206</v>
      </c>
      <c r="C9" s="1" t="s">
        <v>217</v>
      </c>
    </row>
    <row r="10" spans="1:3" ht="113.25" customHeight="1" x14ac:dyDescent="0.3">
      <c r="A10" s="21" t="s">
        <v>2</v>
      </c>
      <c r="B10" s="21" t="s">
        <v>207</v>
      </c>
      <c r="C10" s="1" t="s">
        <v>218</v>
      </c>
    </row>
    <row r="11" spans="1:3" ht="113.25" customHeight="1" x14ac:dyDescent="0.3">
      <c r="A11" s="21" t="s">
        <v>1</v>
      </c>
      <c r="B11" s="21" t="s">
        <v>209</v>
      </c>
      <c r="C11" s="1" t="s">
        <v>219</v>
      </c>
    </row>
    <row r="12" spans="1:3" ht="113.25" customHeight="1" x14ac:dyDescent="0.3">
      <c r="A12" s="21" t="s">
        <v>1</v>
      </c>
      <c r="B12" s="21" t="s">
        <v>206</v>
      </c>
      <c r="C12" s="1" t="s">
        <v>220</v>
      </c>
    </row>
    <row r="13" spans="1:3" ht="113.25" customHeight="1" x14ac:dyDescent="0.3">
      <c r="A13" s="21" t="s">
        <v>1</v>
      </c>
      <c r="B13" s="21" t="s">
        <v>76</v>
      </c>
      <c r="C13" s="1" t="s">
        <v>221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[1.요구량Tool_ve31.xlsm]커튼월index!#REF!</xm:f>
          </x14:formula1>
          <xm:sqref>A2:A13</xm:sqref>
        </x14:dataValidation>
        <x14:dataValidation type="list" allowBlank="1" showInputMessage="1" showErrorMessage="1">
          <x14:formula1>
            <xm:f>[1.요구량Tool_ve31.xlsm]커튼월index!#REF!</xm:f>
          </x14:formula1>
          <xm:sqref>B2:B13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G2" sqref="G2"/>
    </sheetView>
  </sheetViews>
  <sheetFormatPr defaultRowHeight="16.5" x14ac:dyDescent="0.3"/>
  <cols>
    <col min="2" max="2" width="16.75" customWidth="1"/>
    <col min="3" max="3" width="24.875" customWidth="1"/>
  </cols>
  <sheetData>
    <row r="1" spans="1:3" x14ac:dyDescent="0.3">
      <c r="A1" s="22" t="s">
        <v>4</v>
      </c>
      <c r="B1" s="26" t="s">
        <v>79</v>
      </c>
      <c r="C1" s="27" t="s">
        <v>80</v>
      </c>
    </row>
    <row r="2" spans="1:3" ht="350.25" customHeight="1" x14ac:dyDescent="0.3">
      <c r="A2" s="23">
        <v>1</v>
      </c>
      <c r="B2" s="24" t="s">
        <v>132</v>
      </c>
      <c r="C2" s="25"/>
    </row>
    <row r="3" spans="1:3" ht="350.25" customHeight="1" x14ac:dyDescent="0.3">
      <c r="A3" s="23">
        <v>2</v>
      </c>
      <c r="B3" s="24" t="s">
        <v>133</v>
      </c>
      <c r="C3" s="25"/>
    </row>
    <row r="4" spans="1:3" ht="350.25" customHeight="1" x14ac:dyDescent="0.3">
      <c r="A4" s="23">
        <v>3</v>
      </c>
      <c r="B4" s="24" t="s">
        <v>134</v>
      </c>
      <c r="C4" s="25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커튼월창프레임</vt:lpstr>
      <vt:lpstr>간봉</vt:lpstr>
      <vt:lpstr>설치열교</vt:lpstr>
      <vt:lpstr>도어프레임</vt:lpstr>
      <vt:lpstr>이미지_커튼월창프레임</vt:lpstr>
      <vt:lpstr>이미지_설치열교</vt:lpstr>
      <vt:lpstr>이미지_구조유형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2023-04-26T00:20:11Z</dcterms:created>
  <dcterms:modified xsi:type="dcterms:W3CDTF">2023-06-13T06:32:56Z</dcterms:modified>
</cp:coreProperties>
</file>