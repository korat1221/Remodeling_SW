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Z:\5. 연구과제\54. 기존건물에너지리모델링\04.4차년도\05.오프라인툴\3.송신\1.DB\"/>
    </mc:Choice>
  </mc:AlternateContent>
  <bookViews>
    <workbookView xWindow="0" yWindow="0" windowWidth="38370" windowHeight="7050" activeTab="1"/>
  </bookViews>
  <sheets>
    <sheet name="창호프레임" sheetId="7" r:id="rId1"/>
    <sheet name="간봉" sheetId="9" r:id="rId2"/>
    <sheet name="설치열교" sheetId="10" r:id="rId3"/>
    <sheet name="이미지_설치열교" sheetId="13" r:id="rId4"/>
    <sheet name="이미지_구조유형" sheetId="14" r:id="rId5"/>
    <sheet name="이미지_창호프레임" sheetId="1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3" l="1"/>
  <c r="F9" i="13"/>
  <c r="E9" i="13"/>
  <c r="D9" i="13"/>
  <c r="C9" i="13"/>
  <c r="B9" i="13"/>
  <c r="A9" i="13"/>
  <c r="G8" i="13"/>
  <c r="F8" i="13"/>
  <c r="E8" i="13"/>
  <c r="D8" i="13"/>
  <c r="C8" i="13"/>
  <c r="B8" i="13"/>
  <c r="A8" i="13"/>
  <c r="G7" i="13"/>
  <c r="F7" i="13"/>
  <c r="E7" i="13"/>
  <c r="D7" i="13"/>
  <c r="C7" i="13"/>
  <c r="B7" i="13"/>
  <c r="A7" i="13"/>
  <c r="G6" i="13"/>
  <c r="F6" i="13"/>
  <c r="E6" i="13"/>
  <c r="D6" i="13"/>
  <c r="C6" i="13"/>
  <c r="B6" i="13"/>
  <c r="A6" i="13"/>
  <c r="G5" i="13"/>
  <c r="F5" i="13"/>
  <c r="E5" i="13"/>
  <c r="D5" i="13"/>
  <c r="C5" i="13"/>
  <c r="B5" i="13"/>
  <c r="A5" i="13"/>
  <c r="G4" i="13"/>
  <c r="F4" i="13"/>
  <c r="E4" i="13"/>
  <c r="D4" i="13"/>
  <c r="C4" i="13"/>
  <c r="B4" i="13"/>
  <c r="A4" i="13"/>
  <c r="G3" i="13"/>
  <c r="F3" i="13"/>
  <c r="E3" i="13"/>
  <c r="D3" i="13"/>
  <c r="C3" i="13"/>
  <c r="B3" i="13"/>
  <c r="A3" i="13"/>
  <c r="B2" i="13"/>
  <c r="C2" i="13"/>
  <c r="D2" i="13"/>
  <c r="E2" i="13"/>
  <c r="F2" i="13"/>
  <c r="G2" i="13"/>
  <c r="A2" i="13"/>
  <c r="H16" i="7" l="1"/>
  <c r="G16" i="7"/>
</calcChain>
</file>

<file path=xl/sharedStrings.xml><?xml version="1.0" encoding="utf-8"?>
<sst xmlns="http://schemas.openxmlformats.org/spreadsheetml/2006/main" count="952" uniqueCount="233">
  <si>
    <t>내단열</t>
  </si>
  <si>
    <t>IPAZEB</t>
  </si>
  <si>
    <t>경량철골조</t>
  </si>
  <si>
    <t>목구조</t>
  </si>
  <si>
    <t>DB유형</t>
    <phoneticPr fontId="3" type="noConversion"/>
  </si>
  <si>
    <t>표준</t>
    <phoneticPr fontId="3" type="noConversion"/>
  </si>
  <si>
    <t>번호</t>
    <phoneticPr fontId="3" type="noConversion"/>
  </si>
  <si>
    <t>제품명</t>
    <phoneticPr fontId="3" type="noConversion"/>
  </si>
  <si>
    <t>제조사</t>
    <phoneticPr fontId="3" type="noConversion"/>
  </si>
  <si>
    <t>프레임 종류</t>
  </si>
  <si>
    <t>프레임 재료</t>
  </si>
  <si>
    <t>개폐부프레임열관류율</t>
    <phoneticPr fontId="3" type="noConversion"/>
  </si>
  <si>
    <t>고정부프레임열관류율</t>
    <phoneticPr fontId="3" type="noConversion"/>
  </si>
  <si>
    <t>중간바프레임열관류율</t>
    <phoneticPr fontId="3" type="noConversion"/>
  </si>
  <si>
    <t>개폐부 
프레임두께</t>
    <phoneticPr fontId="3" type="noConversion"/>
  </si>
  <si>
    <t>고정부
프레임두께</t>
    <phoneticPr fontId="3" type="noConversion"/>
  </si>
  <si>
    <t>중간바
프레임두께</t>
    <phoneticPr fontId="3" type="noConversion"/>
  </si>
  <si>
    <t>WF_001</t>
    <phoneticPr fontId="3" type="noConversion"/>
  </si>
  <si>
    <t>WF_002</t>
  </si>
  <si>
    <t>WF_003</t>
  </si>
  <si>
    <t>WF_004</t>
  </si>
  <si>
    <t>WF_005</t>
  </si>
  <si>
    <t>WF_006</t>
  </si>
  <si>
    <t>WF_007</t>
  </si>
  <si>
    <t>WF_008</t>
  </si>
  <si>
    <t>WF_009</t>
  </si>
  <si>
    <t>SL_S_PVC</t>
    <phoneticPr fontId="3" type="noConversion"/>
  </si>
  <si>
    <t>단창_SL</t>
  </si>
  <si>
    <t>플라스틱</t>
  </si>
  <si>
    <t>SL_S_ALU</t>
    <phoneticPr fontId="3" type="noConversion"/>
  </si>
  <si>
    <t>금속</t>
  </si>
  <si>
    <t>SL_S_TALU</t>
    <phoneticPr fontId="3" type="noConversion"/>
  </si>
  <si>
    <t>금속_단열바</t>
  </si>
  <si>
    <t>SL_D_PVC</t>
    <phoneticPr fontId="3" type="noConversion"/>
  </si>
  <si>
    <t>이중창_SL</t>
  </si>
  <si>
    <t>SL_D_ALU</t>
    <phoneticPr fontId="3" type="noConversion"/>
  </si>
  <si>
    <t>SL_D_TALU</t>
    <phoneticPr fontId="3" type="noConversion"/>
  </si>
  <si>
    <t>TT_S_PVC</t>
    <phoneticPr fontId="3" type="noConversion"/>
  </si>
  <si>
    <t>단창_T/T</t>
  </si>
  <si>
    <t>TT_S_ALU</t>
    <phoneticPr fontId="3" type="noConversion"/>
  </si>
  <si>
    <t>TT_S_TALU</t>
    <phoneticPr fontId="3" type="noConversion"/>
  </si>
  <si>
    <t>WF_010</t>
    <phoneticPr fontId="3" type="noConversion"/>
  </si>
  <si>
    <t>WF_011</t>
  </si>
  <si>
    <t>WF_012</t>
  </si>
  <si>
    <t>WF_013</t>
  </si>
  <si>
    <t>WF_014</t>
  </si>
  <si>
    <t>WF_015</t>
  </si>
  <si>
    <t>WF_016</t>
  </si>
  <si>
    <t>(주)엔썸</t>
    <phoneticPr fontId="3" type="noConversion"/>
  </si>
  <si>
    <t>LG하우시스</t>
    <phoneticPr fontId="3" type="noConversion"/>
  </si>
  <si>
    <t>LG하우시스</t>
    <phoneticPr fontId="3" type="noConversion"/>
  </si>
  <si>
    <t>E9-LS250</t>
    <phoneticPr fontId="3" type="noConversion"/>
  </si>
  <si>
    <t>(주)KCC</t>
    <phoneticPr fontId="3" type="noConversion"/>
  </si>
  <si>
    <t>(주)KCC</t>
    <phoneticPr fontId="3" type="noConversion"/>
  </si>
  <si>
    <t>인증</t>
    <phoneticPr fontId="3" type="noConversion"/>
  </si>
  <si>
    <t>EN88</t>
    <phoneticPr fontId="3" type="noConversion"/>
  </si>
  <si>
    <t>인증</t>
    <phoneticPr fontId="3" type="noConversion"/>
  </si>
  <si>
    <t>PPT70K</t>
    <phoneticPr fontId="3" type="noConversion"/>
  </si>
  <si>
    <t>인증</t>
    <phoneticPr fontId="3" type="noConversion"/>
  </si>
  <si>
    <t>SPS210</t>
    <phoneticPr fontId="3" type="noConversion"/>
  </si>
  <si>
    <t>인증</t>
    <phoneticPr fontId="3" type="noConversion"/>
  </si>
  <si>
    <t>MBR88Z</t>
    <phoneticPr fontId="3" type="noConversion"/>
  </si>
  <si>
    <t>IBF225Z</t>
    <phoneticPr fontId="3" type="noConversion"/>
  </si>
  <si>
    <t>인증</t>
    <phoneticPr fontId="3" type="noConversion"/>
  </si>
  <si>
    <t>KCC EGIS</t>
    <phoneticPr fontId="3" type="noConversion"/>
  </si>
  <si>
    <t>(주)KCC</t>
    <phoneticPr fontId="3" type="noConversion"/>
  </si>
  <si>
    <t>번호</t>
    <phoneticPr fontId="3" type="noConversion"/>
  </si>
  <si>
    <t>DB유형</t>
    <phoneticPr fontId="3" type="noConversion"/>
  </si>
  <si>
    <t>번호</t>
    <phoneticPr fontId="3" type="noConversion"/>
  </si>
  <si>
    <t>제품명</t>
    <phoneticPr fontId="3" type="noConversion"/>
  </si>
  <si>
    <t>구분1</t>
    <phoneticPr fontId="3" type="noConversion"/>
  </si>
  <si>
    <t>구분2</t>
    <phoneticPr fontId="3" type="noConversion"/>
  </si>
  <si>
    <t>구분3</t>
    <phoneticPr fontId="3" type="noConversion"/>
  </si>
  <si>
    <t>고정유리(CL)
선형열관류율</t>
    <phoneticPr fontId="3" type="noConversion"/>
  </si>
  <si>
    <t>개폐유리(CL)
선형열관류율</t>
    <phoneticPr fontId="3" type="noConversion"/>
  </si>
  <si>
    <t>고정유리(LE)
선형열관류율</t>
    <phoneticPr fontId="3" type="noConversion"/>
  </si>
  <si>
    <t>개폐유리(LE)
선형열관류율</t>
    <phoneticPr fontId="3" type="noConversion"/>
  </si>
  <si>
    <t>GS_001</t>
    <phoneticPr fontId="3" type="noConversion"/>
  </si>
  <si>
    <t>GS_002</t>
  </si>
  <si>
    <t>GS_003</t>
  </si>
  <si>
    <t>GS_004</t>
  </si>
  <si>
    <t>GS_005</t>
  </si>
  <si>
    <t>GS_006</t>
  </si>
  <si>
    <t>GS_007</t>
  </si>
  <si>
    <t>GS_008</t>
  </si>
  <si>
    <t>GS_009</t>
  </si>
  <si>
    <t>GS_010</t>
  </si>
  <si>
    <t>GS_011</t>
  </si>
  <si>
    <t>GS_012</t>
  </si>
  <si>
    <t>표준Psi</t>
    <phoneticPr fontId="3" type="noConversion"/>
  </si>
  <si>
    <t>일반간봉</t>
    <phoneticPr fontId="3" type="noConversion"/>
  </si>
  <si>
    <t>단창</t>
    <phoneticPr fontId="3" type="noConversion"/>
  </si>
  <si>
    <t>플라스틱</t>
    <phoneticPr fontId="3" type="noConversion"/>
  </si>
  <si>
    <t>표준Psi</t>
    <phoneticPr fontId="3" type="noConversion"/>
  </si>
  <si>
    <t>일반간봉</t>
    <phoneticPr fontId="3" type="noConversion"/>
  </si>
  <si>
    <t>단창</t>
    <phoneticPr fontId="3" type="noConversion"/>
  </si>
  <si>
    <t>금속</t>
    <phoneticPr fontId="3" type="noConversion"/>
  </si>
  <si>
    <t>표준Psi</t>
    <phoneticPr fontId="3" type="noConversion"/>
  </si>
  <si>
    <t>단창</t>
    <phoneticPr fontId="3" type="noConversion"/>
  </si>
  <si>
    <t>금속_단열바</t>
    <phoneticPr fontId="3" type="noConversion"/>
  </si>
  <si>
    <t>표준Psi</t>
    <phoneticPr fontId="3" type="noConversion"/>
  </si>
  <si>
    <t>일반간봉</t>
    <phoneticPr fontId="3" type="noConversion"/>
  </si>
  <si>
    <t>이중창</t>
    <phoneticPr fontId="3" type="noConversion"/>
  </si>
  <si>
    <t>플라스틱</t>
    <phoneticPr fontId="3" type="noConversion"/>
  </si>
  <si>
    <t>이중창</t>
    <phoneticPr fontId="3" type="noConversion"/>
  </si>
  <si>
    <t>금속</t>
    <phoneticPr fontId="3" type="noConversion"/>
  </si>
  <si>
    <t>표준Psi</t>
    <phoneticPr fontId="3" type="noConversion"/>
  </si>
  <si>
    <t>이중창</t>
    <phoneticPr fontId="3" type="noConversion"/>
  </si>
  <si>
    <t>단열간봉</t>
    <phoneticPr fontId="3" type="noConversion"/>
  </si>
  <si>
    <t>단창</t>
    <phoneticPr fontId="3" type="noConversion"/>
  </si>
  <si>
    <t>단창</t>
    <phoneticPr fontId="3" type="noConversion"/>
  </si>
  <si>
    <t>단열간봉</t>
    <phoneticPr fontId="3" type="noConversion"/>
  </si>
  <si>
    <t>금속_단열바</t>
    <phoneticPr fontId="3" type="noConversion"/>
  </si>
  <si>
    <t>표준Psi</t>
    <phoneticPr fontId="3" type="noConversion"/>
  </si>
  <si>
    <t>단열간봉</t>
    <phoneticPr fontId="3" type="noConversion"/>
  </si>
  <si>
    <t>플라스틱</t>
    <phoneticPr fontId="3" type="noConversion"/>
  </si>
  <si>
    <t>이중창</t>
    <phoneticPr fontId="3" type="noConversion"/>
  </si>
  <si>
    <t>금속</t>
    <phoneticPr fontId="3" type="noConversion"/>
  </si>
  <si>
    <t>표준Psi</t>
    <phoneticPr fontId="3" type="noConversion"/>
  </si>
  <si>
    <t>단열간봉</t>
    <phoneticPr fontId="3" type="noConversion"/>
  </si>
  <si>
    <t>이중창</t>
    <phoneticPr fontId="3" type="noConversion"/>
  </si>
  <si>
    <t>표준</t>
    <phoneticPr fontId="3" type="noConversion"/>
  </si>
  <si>
    <t>표준</t>
    <phoneticPr fontId="3" type="noConversion"/>
  </si>
  <si>
    <t>표준</t>
    <phoneticPr fontId="3" type="noConversion"/>
  </si>
  <si>
    <t>표준</t>
    <phoneticPr fontId="3" type="noConversion"/>
  </si>
  <si>
    <t>표준</t>
    <phoneticPr fontId="3" type="noConversion"/>
  </si>
  <si>
    <t>제품명</t>
    <phoneticPr fontId="3" type="noConversion"/>
  </si>
  <si>
    <t>구분1</t>
    <phoneticPr fontId="3" type="noConversion"/>
  </si>
  <si>
    <t>구분2</t>
    <phoneticPr fontId="3" type="noConversion"/>
  </si>
  <si>
    <t>구분3</t>
    <phoneticPr fontId="3" type="noConversion"/>
  </si>
  <si>
    <t>구분4</t>
    <phoneticPr fontId="3" type="noConversion"/>
  </si>
  <si>
    <t>상부설치
선형열관류율</t>
    <phoneticPr fontId="3" type="noConversion"/>
  </si>
  <si>
    <t>측면설치
선형열관류율</t>
    <phoneticPr fontId="3" type="noConversion"/>
  </si>
  <si>
    <t>하부설치
선형열관류율</t>
    <phoneticPr fontId="3" type="noConversion"/>
  </si>
  <si>
    <t>WS_001</t>
    <phoneticPr fontId="3" type="noConversion"/>
  </si>
  <si>
    <t>WS_002</t>
  </si>
  <si>
    <t>WS_003</t>
  </si>
  <si>
    <t>WS_004</t>
  </si>
  <si>
    <t>WS_005</t>
  </si>
  <si>
    <t>WS_006</t>
  </si>
  <si>
    <t>WS_007</t>
  </si>
  <si>
    <t>WS_008</t>
  </si>
  <si>
    <t>WS_009</t>
  </si>
  <si>
    <t>WS_010</t>
  </si>
  <si>
    <t>WS_011</t>
  </si>
  <si>
    <t>WS_012</t>
  </si>
  <si>
    <t>WS_013</t>
  </si>
  <si>
    <t>WS_014</t>
  </si>
  <si>
    <t>WS_015</t>
  </si>
  <si>
    <t>WS_016</t>
  </si>
  <si>
    <t>WS_017</t>
  </si>
  <si>
    <t>WS_018</t>
  </si>
  <si>
    <t>WS_019</t>
  </si>
  <si>
    <t>WS_020</t>
  </si>
  <si>
    <t>WS_021</t>
  </si>
  <si>
    <t>WS_022</t>
  </si>
  <si>
    <t>WS_023</t>
  </si>
  <si>
    <t>WS_024</t>
  </si>
  <si>
    <t>WS_025</t>
  </si>
  <si>
    <t>WS_026</t>
  </si>
  <si>
    <t>WS_027</t>
  </si>
  <si>
    <t>WS_028</t>
  </si>
  <si>
    <t>WS_029</t>
  </si>
  <si>
    <t>WS_030</t>
  </si>
  <si>
    <t>WS_031</t>
  </si>
  <si>
    <t>WS_032</t>
  </si>
  <si>
    <t>WS_033</t>
  </si>
  <si>
    <t>WS_034</t>
  </si>
  <si>
    <t>WS_035</t>
  </si>
  <si>
    <t>WS_036</t>
  </si>
  <si>
    <t>WS_037</t>
  </si>
  <si>
    <t>WS_038</t>
  </si>
  <si>
    <t>WS_039</t>
  </si>
  <si>
    <t>WS_040</t>
  </si>
  <si>
    <t>WS_041</t>
  </si>
  <si>
    <t>WS_042</t>
  </si>
  <si>
    <t>WS_043</t>
  </si>
  <si>
    <t>WS_044</t>
  </si>
  <si>
    <t>WS_045</t>
  </si>
  <si>
    <t>WS_046</t>
  </si>
  <si>
    <t>WS_047</t>
  </si>
  <si>
    <t>WS_048</t>
  </si>
  <si>
    <t>단창</t>
  </si>
  <si>
    <t>외부측</t>
  </si>
  <si>
    <t>표준설치열교</t>
    <phoneticPr fontId="3" type="noConversion"/>
  </si>
  <si>
    <t>중간</t>
  </si>
  <si>
    <t>내부측</t>
  </si>
  <si>
    <t>이중창</t>
  </si>
  <si>
    <t>외단열</t>
  </si>
  <si>
    <t>표준설치열교</t>
    <phoneticPr fontId="3" type="noConversion"/>
  </si>
  <si>
    <t>표준설치열교</t>
    <phoneticPr fontId="3" type="noConversion"/>
  </si>
  <si>
    <t>표준설치열교</t>
    <phoneticPr fontId="3" type="noConversion"/>
  </si>
  <si>
    <t>표준</t>
    <phoneticPr fontId="3" type="noConversion"/>
  </si>
  <si>
    <t>기본형</t>
    <phoneticPr fontId="3" type="noConversion"/>
  </si>
  <si>
    <t>3단형</t>
    <phoneticPr fontId="3" type="noConversion"/>
  </si>
  <si>
    <t>4단형</t>
    <phoneticPr fontId="3" type="noConversion"/>
  </si>
  <si>
    <t>이미지_열교유형</t>
    <phoneticPr fontId="3" type="noConversion"/>
  </si>
  <si>
    <t>구조유형</t>
    <phoneticPr fontId="3" type="noConversion"/>
  </si>
  <si>
    <t>기존창호</t>
    <phoneticPr fontId="3" type="noConversion"/>
  </si>
  <si>
    <t>신규</t>
    <phoneticPr fontId="3" type="noConversion"/>
  </si>
  <si>
    <t>철거 후 신규</t>
    <phoneticPr fontId="3" type="noConversion"/>
  </si>
  <si>
    <t>외부(커튼월)덧댐</t>
    <phoneticPr fontId="3" type="noConversion"/>
  </si>
  <si>
    <t>내부덧댐</t>
    <phoneticPr fontId="3" type="noConversion"/>
  </si>
  <si>
    <t>커튼월창</t>
    <phoneticPr fontId="3" type="noConversion"/>
  </si>
  <si>
    <t>이미지</t>
    <phoneticPr fontId="3" type="noConversion"/>
  </si>
  <si>
    <r>
      <t>U</t>
    </r>
    <r>
      <rPr>
        <vertAlign val="subscript"/>
        <sz val="9"/>
        <color theme="1"/>
        <rFont val="맑은 고딕"/>
        <family val="3"/>
        <charset val="129"/>
        <scheme val="major"/>
      </rPr>
      <t>f,A</t>
    </r>
    <phoneticPr fontId="3" type="noConversion"/>
  </si>
  <si>
    <r>
      <t>U</t>
    </r>
    <r>
      <rPr>
        <vertAlign val="subscript"/>
        <sz val="9"/>
        <color theme="1"/>
        <rFont val="맑은 고딕"/>
        <family val="3"/>
        <charset val="129"/>
        <scheme val="major"/>
      </rPr>
      <t>f,B</t>
    </r>
    <phoneticPr fontId="3" type="noConversion"/>
  </si>
  <si>
    <r>
      <t>U</t>
    </r>
    <r>
      <rPr>
        <vertAlign val="subscript"/>
        <sz val="9"/>
        <color theme="1"/>
        <rFont val="맑은 고딕"/>
        <family val="3"/>
        <charset val="129"/>
        <scheme val="major"/>
      </rPr>
      <t>f,C</t>
    </r>
    <phoneticPr fontId="3" type="noConversion"/>
  </si>
  <si>
    <r>
      <t>d</t>
    </r>
    <r>
      <rPr>
        <vertAlign val="subscript"/>
        <sz val="9"/>
        <color theme="1"/>
        <rFont val="맑은 고딕"/>
        <family val="3"/>
        <charset val="129"/>
        <scheme val="major"/>
      </rPr>
      <t>A</t>
    </r>
    <phoneticPr fontId="3" type="noConversion"/>
  </si>
  <si>
    <r>
      <t>d</t>
    </r>
    <r>
      <rPr>
        <vertAlign val="subscript"/>
        <sz val="9"/>
        <color theme="1"/>
        <rFont val="맑은 고딕"/>
        <family val="3"/>
        <charset val="129"/>
        <scheme val="major"/>
      </rPr>
      <t>B</t>
    </r>
    <phoneticPr fontId="3" type="noConversion"/>
  </si>
  <si>
    <r>
      <t>d</t>
    </r>
    <r>
      <rPr>
        <vertAlign val="subscript"/>
        <sz val="9"/>
        <color theme="1"/>
        <rFont val="맑은 고딕"/>
        <family val="3"/>
        <charset val="129"/>
        <scheme val="major"/>
      </rPr>
      <t>C</t>
    </r>
    <phoneticPr fontId="3" type="noConversion"/>
  </si>
  <si>
    <r>
      <t>[W/m</t>
    </r>
    <r>
      <rPr>
        <vertAlign val="superscript"/>
        <sz val="9"/>
        <color theme="1"/>
        <rFont val="맑은 고딕"/>
        <family val="3"/>
        <charset val="129"/>
        <scheme val="major"/>
      </rPr>
      <t>2</t>
    </r>
    <r>
      <rPr>
        <sz val="9"/>
        <color theme="1"/>
        <rFont val="맑은 고딕"/>
        <family val="3"/>
        <charset val="129"/>
        <scheme val="major"/>
      </rPr>
      <t>∙K]</t>
    </r>
    <phoneticPr fontId="3" type="noConversion"/>
  </si>
  <si>
    <r>
      <t>[W/m</t>
    </r>
    <r>
      <rPr>
        <vertAlign val="superscript"/>
        <sz val="9"/>
        <color theme="1"/>
        <rFont val="맑은 고딕"/>
        <family val="3"/>
        <charset val="129"/>
        <scheme val="major"/>
      </rPr>
      <t>2</t>
    </r>
    <r>
      <rPr>
        <sz val="9"/>
        <color theme="1"/>
        <rFont val="맑은 고딕"/>
        <family val="3"/>
        <charset val="129"/>
        <scheme val="major"/>
      </rPr>
      <t>∙K]</t>
    </r>
    <phoneticPr fontId="3" type="noConversion"/>
  </si>
  <si>
    <t>[m]</t>
    <phoneticPr fontId="3" type="noConversion"/>
  </si>
  <si>
    <t>[m]</t>
    <phoneticPr fontId="3" type="noConversion"/>
  </si>
  <si>
    <t>[m]</t>
    <phoneticPr fontId="3" type="noConversion"/>
  </si>
  <si>
    <r>
      <rPr>
        <sz val="9"/>
        <rFont val="Calibri"/>
        <family val="3"/>
        <charset val="161"/>
      </rPr>
      <t>Ψ</t>
    </r>
    <r>
      <rPr>
        <vertAlign val="subscript"/>
        <sz val="9"/>
        <rFont val="맑은 고딕"/>
        <family val="3"/>
        <charset val="129"/>
        <scheme val="minor"/>
      </rPr>
      <t>g,</t>
    </r>
    <r>
      <rPr>
        <vertAlign val="subscript"/>
        <sz val="9"/>
        <rFont val="Calibri"/>
        <family val="3"/>
      </rPr>
      <t>fix</t>
    </r>
    <phoneticPr fontId="3" type="noConversion"/>
  </si>
  <si>
    <r>
      <rPr>
        <sz val="9"/>
        <rFont val="Calibri"/>
        <family val="3"/>
        <charset val="161"/>
      </rPr>
      <t>Ψ</t>
    </r>
    <r>
      <rPr>
        <vertAlign val="subscript"/>
        <sz val="9"/>
        <rFont val="맑은 고딕"/>
        <family val="3"/>
        <charset val="129"/>
        <scheme val="minor"/>
      </rPr>
      <t>g,</t>
    </r>
    <r>
      <rPr>
        <vertAlign val="subscript"/>
        <sz val="9"/>
        <rFont val="Calibri"/>
        <family val="3"/>
      </rPr>
      <t>t</t>
    </r>
    <phoneticPr fontId="3" type="noConversion"/>
  </si>
  <si>
    <r>
      <rPr>
        <sz val="9"/>
        <rFont val="Calibri"/>
        <family val="3"/>
        <charset val="161"/>
      </rPr>
      <t>Ψ</t>
    </r>
    <r>
      <rPr>
        <vertAlign val="subscript"/>
        <sz val="9"/>
        <rFont val="맑은 고딕"/>
        <family val="3"/>
        <charset val="129"/>
        <scheme val="minor"/>
      </rPr>
      <t>g,</t>
    </r>
    <r>
      <rPr>
        <vertAlign val="subscript"/>
        <sz val="9"/>
        <rFont val="Calibri"/>
        <family val="3"/>
      </rPr>
      <t>t</t>
    </r>
    <phoneticPr fontId="3" type="noConversion"/>
  </si>
  <si>
    <t>[W/m·K]</t>
    <phoneticPr fontId="3" type="noConversion"/>
  </si>
  <si>
    <t>[W/m·K]</t>
    <phoneticPr fontId="3" type="noConversion"/>
  </si>
  <si>
    <t>[W/m·K]</t>
    <phoneticPr fontId="3" type="noConversion"/>
  </si>
  <si>
    <t>프레임유형</t>
    <phoneticPr fontId="3" type="noConversion"/>
  </si>
  <si>
    <t>단창_T/T</t>
    <phoneticPr fontId="3" type="noConversion"/>
  </si>
  <si>
    <t>기본형</t>
    <phoneticPr fontId="3" type="noConversion"/>
  </si>
  <si>
    <t>플라스틱</t>
    <phoneticPr fontId="3" type="noConversion"/>
  </si>
  <si>
    <t>단창_T/T</t>
    <phoneticPr fontId="3" type="noConversion"/>
  </si>
  <si>
    <t>3단형</t>
    <phoneticPr fontId="3" type="noConversion"/>
  </si>
  <si>
    <t>금속</t>
    <phoneticPr fontId="3" type="noConversion"/>
  </si>
  <si>
    <t>4단형</t>
    <phoneticPr fontId="3" type="noConversion"/>
  </si>
  <si>
    <t>단창_SL</t>
    <phoneticPr fontId="3" type="noConversion"/>
  </si>
  <si>
    <t>단창_SL</t>
    <phoneticPr fontId="3" type="noConversion"/>
  </si>
  <si>
    <t>이중창_SL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</si>
</sst>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00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theme="1"/>
      <name val="바탕체"/>
      <family val="2"/>
      <charset val="129"/>
    </font>
    <font>
      <sz val="10"/>
      <name val="Arial"/>
      <family val="2"/>
    </font>
    <font>
      <sz val="10"/>
      <name val="MS Sans Serif"/>
      <family val="2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vertAlign val="subscript"/>
      <sz val="9"/>
      <color theme="1"/>
      <name val="맑은 고딕"/>
      <family val="3"/>
      <charset val="129"/>
      <scheme val="major"/>
    </font>
    <font>
      <vertAlign val="superscript"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name val="맑은 고딕"/>
      <family val="3"/>
      <charset val="161"/>
      <scheme val="minor"/>
    </font>
    <font>
      <sz val="9"/>
      <name val="Calibri"/>
      <family val="3"/>
      <charset val="161"/>
    </font>
    <font>
      <vertAlign val="subscript"/>
      <sz val="9"/>
      <name val="맑은 고딕"/>
      <family val="3"/>
      <charset val="129"/>
      <scheme val="minor"/>
    </font>
    <font>
      <vertAlign val="subscript"/>
      <sz val="9"/>
      <name val="Calibri"/>
      <family val="3"/>
    </font>
    <font>
      <sz val="9"/>
      <name val="Calibri"/>
      <family val="3"/>
    </font>
    <font>
      <sz val="9"/>
      <color rgb="FF00000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69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7" fillId="0" borderId="0">
      <alignment vertical="center"/>
    </xf>
    <xf numFmtId="0" fontId="1" fillId="3" borderId="1">
      <alignment horizontal="center" vertical="center"/>
    </xf>
    <xf numFmtId="0" fontId="6" fillId="5" borderId="3">
      <alignment horizontal="center" vertical="center"/>
    </xf>
    <xf numFmtId="0" fontId="6" fillId="4" borderId="3">
      <alignment horizontal="center" vertical="center"/>
    </xf>
    <xf numFmtId="0" fontId="6" fillId="6" borderId="3">
      <alignment horizontal="center"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0" borderId="0"/>
  </cellStyleXfs>
  <cellXfs count="41">
    <xf numFmtId="0" fontId="0" fillId="0" borderId="0" xfId="0">
      <alignment vertical="center"/>
    </xf>
    <xf numFmtId="0" fontId="0" fillId="0" borderId="0" xfId="0">
      <alignment vertical="center"/>
    </xf>
    <xf numFmtId="0" fontId="12" fillId="7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176" fontId="12" fillId="0" borderId="2" xfId="0" applyNumberFormat="1" applyFont="1" applyFill="1" applyBorder="1" applyAlignment="1">
      <alignment horizontal="right" vertical="center"/>
    </xf>
    <xf numFmtId="0" fontId="12" fillId="0" borderId="7" xfId="0" applyFont="1" applyFill="1" applyBorder="1" applyAlignment="1">
      <alignment horizontal="center" vertical="center"/>
    </xf>
    <xf numFmtId="176" fontId="12" fillId="0" borderId="7" xfId="0" applyNumberFormat="1" applyFont="1" applyFill="1" applyBorder="1" applyAlignment="1">
      <alignment horizontal="right" vertical="center"/>
    </xf>
    <xf numFmtId="0" fontId="12" fillId="7" borderId="6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/>
    </xf>
    <xf numFmtId="0" fontId="22" fillId="8" borderId="5" xfId="0" applyFont="1" applyFill="1" applyBorder="1" applyAlignment="1">
      <alignment horizontal="center" vertical="center" wrapText="1" readingOrder="1"/>
    </xf>
    <xf numFmtId="0" fontId="10" fillId="8" borderId="5" xfId="0" applyFont="1" applyFill="1" applyBorder="1">
      <alignment vertical="center"/>
    </xf>
    <xf numFmtId="0" fontId="22" fillId="8" borderId="2" xfId="0" applyFont="1" applyFill="1" applyBorder="1" applyAlignment="1">
      <alignment horizontal="center" vertical="center" wrapText="1" readingOrder="1"/>
    </xf>
    <xf numFmtId="0" fontId="10" fillId="8" borderId="2" xfId="0" applyFont="1" applyFill="1" applyBorder="1">
      <alignment vertical="center"/>
    </xf>
    <xf numFmtId="0" fontId="16" fillId="0" borderId="5" xfId="0" applyFont="1" applyFill="1" applyBorder="1" applyAlignment="1">
      <alignment horizontal="center" vertical="center"/>
    </xf>
    <xf numFmtId="176" fontId="12" fillId="0" borderId="5" xfId="0" applyNumberFormat="1" applyFont="1" applyFill="1" applyBorder="1" applyAlignment="1">
      <alignment horizontal="right" vertical="center"/>
    </xf>
    <xf numFmtId="0" fontId="0" fillId="11" borderId="2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1" fillId="7" borderId="6" xfId="0" applyFont="1" applyFill="1" applyBorder="1" applyAlignment="1">
      <alignment horizontal="center" vertical="center" wrapText="1"/>
    </xf>
    <xf numFmtId="0" fontId="0" fillId="12" borderId="11" xfId="0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11" xfId="0" applyFill="1" applyBorder="1" applyAlignment="1">
      <alignment horizontal="center" vertical="center"/>
    </xf>
  </cellXfs>
  <cellStyles count="69">
    <cellStyle name="Standard 2" xfId="68"/>
    <cellStyle name="Standard_HWB Kurzverf. Formular" xfId="64"/>
    <cellStyle name="계산값" xfId="8"/>
    <cellStyle name="보통 2" xfId="67"/>
    <cellStyle name="선택값" xfId="6"/>
    <cellStyle name="쉼표 [0] 2" xfId="12"/>
    <cellStyle name="쉼표 [0] 2 2" xfId="15"/>
    <cellStyle name="쉼표 [0] 2 2 2" xfId="21"/>
    <cellStyle name="쉼표 [0] 2 2 2 2" xfId="35"/>
    <cellStyle name="쉼표 [0] 2 2 2 2 2" xfId="61"/>
    <cellStyle name="쉼표 [0] 2 2 2 3" xfId="48"/>
    <cellStyle name="쉼표 [0] 2 2 3" xfId="29"/>
    <cellStyle name="쉼표 [0] 2 2 3 2" xfId="55"/>
    <cellStyle name="쉼표 [0] 2 2 4" xfId="42"/>
    <cellStyle name="쉼표 [0] 2 3" xfId="18"/>
    <cellStyle name="쉼표 [0] 2 3 2" xfId="32"/>
    <cellStyle name="쉼표 [0] 2 3 2 2" xfId="58"/>
    <cellStyle name="쉼표 [0] 2 3 3" xfId="45"/>
    <cellStyle name="쉼표 [0] 2 4" xfId="26"/>
    <cellStyle name="쉼표 [0] 2 4 2" xfId="52"/>
    <cellStyle name="쉼표 [0] 2 5" xfId="39"/>
    <cellStyle name="쉼표 [0] 2 6" xfId="66"/>
    <cellStyle name="쉼표 [0] 3" xfId="11"/>
    <cellStyle name="쉼표 [0] 3 2" xfId="14"/>
    <cellStyle name="쉼표 [0] 3 2 2" xfId="20"/>
    <cellStyle name="쉼표 [0] 3 2 2 2" xfId="34"/>
    <cellStyle name="쉼표 [0] 3 2 2 2 2" xfId="60"/>
    <cellStyle name="쉼표 [0] 3 2 2 3" xfId="47"/>
    <cellStyle name="쉼표 [0] 3 2 3" xfId="28"/>
    <cellStyle name="쉼표 [0] 3 2 3 2" xfId="54"/>
    <cellStyle name="쉼표 [0] 3 2 4" xfId="41"/>
    <cellStyle name="쉼표 [0] 3 3" xfId="17"/>
    <cellStyle name="쉼표 [0] 3 3 2" xfId="31"/>
    <cellStyle name="쉼표 [0] 3 3 2 2" xfId="57"/>
    <cellStyle name="쉼표 [0] 3 3 3" xfId="44"/>
    <cellStyle name="쉼표 [0] 3 4" xfId="25"/>
    <cellStyle name="쉼표 [0] 3 4 2" xfId="51"/>
    <cellStyle name="쉼표 [0] 3 5" xfId="38"/>
    <cellStyle name="쉼표 [0] 4" xfId="10"/>
    <cellStyle name="쉼표 [0] 4 2" xfId="16"/>
    <cellStyle name="쉼표 [0] 4 2 2" xfId="30"/>
    <cellStyle name="쉼표 [0] 4 2 2 2" xfId="56"/>
    <cellStyle name="쉼표 [0] 4 2 3" xfId="43"/>
    <cellStyle name="쉼표 [0] 4 3" xfId="24"/>
    <cellStyle name="쉼표 [0] 4 3 2" xfId="50"/>
    <cellStyle name="쉼표 [0] 4 4" xfId="37"/>
    <cellStyle name="쉼표 [0] 5" xfId="13"/>
    <cellStyle name="쉼표 [0] 5 2" xfId="19"/>
    <cellStyle name="쉼표 [0] 5 2 2" xfId="33"/>
    <cellStyle name="쉼표 [0] 5 2 2 2" xfId="59"/>
    <cellStyle name="쉼표 [0] 5 2 3" xfId="46"/>
    <cellStyle name="쉼표 [0] 5 3" xfId="27"/>
    <cellStyle name="쉼표 [0] 5 3 2" xfId="53"/>
    <cellStyle name="쉼표 [0] 5 4" xfId="40"/>
    <cellStyle name="쉼표 [0] 6" xfId="23"/>
    <cellStyle name="쉼표 [0] 6 2" xfId="36"/>
    <cellStyle name="쉼표 [0] 6 2 2" xfId="62"/>
    <cellStyle name="쉼표 [0] 6 3" xfId="49"/>
    <cellStyle name="쉼표 [0] 7" xfId="65"/>
    <cellStyle name="쉼표 [0] 8" xfId="63"/>
    <cellStyle name="쉼표 [0] 9" xfId="2"/>
    <cellStyle name="입력값" xfId="7"/>
    <cellStyle name="입력값 2" xfId="5"/>
    <cellStyle name="표준" xfId="0" builtinId="0"/>
    <cellStyle name="표준 2" xfId="1"/>
    <cellStyle name="표준 2 2" xfId="3"/>
    <cellStyle name="표준 2 3" xfId="9"/>
    <cellStyle name="표준 2 3 2" xfId="22"/>
    <cellStyle name="표준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image" Target="../media/image202.svg"/><Relationship Id="rId7" Type="http://schemas.openxmlformats.org/officeDocument/2006/relationships/image" Target="../media/image206.sv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28.png"/><Relationship Id="rId11" Type="http://schemas.openxmlformats.org/officeDocument/2006/relationships/image" Target="../media/image32.png"/><Relationship Id="rId5" Type="http://schemas.openxmlformats.org/officeDocument/2006/relationships/image" Target="../media/image204.svg"/><Relationship Id="rId10" Type="http://schemas.openxmlformats.org/officeDocument/2006/relationships/image" Target="../media/image31.png"/><Relationship Id="rId4" Type="http://schemas.openxmlformats.org/officeDocument/2006/relationships/image" Target="../media/image27.png"/><Relationship Id="rId9" Type="http://schemas.openxmlformats.org/officeDocument/2006/relationships/image" Target="../media/image3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image" Target="../media/image45.png"/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12" Type="http://schemas.openxmlformats.org/officeDocument/2006/relationships/image" Target="../media/image44.png"/><Relationship Id="rId2" Type="http://schemas.openxmlformats.org/officeDocument/2006/relationships/image" Target="../media/image34.png"/><Relationship Id="rId16" Type="http://schemas.openxmlformats.org/officeDocument/2006/relationships/image" Target="../media/image48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11" Type="http://schemas.openxmlformats.org/officeDocument/2006/relationships/image" Target="../media/image43.png"/><Relationship Id="rId5" Type="http://schemas.openxmlformats.org/officeDocument/2006/relationships/image" Target="../media/image37.png"/><Relationship Id="rId15" Type="http://schemas.openxmlformats.org/officeDocument/2006/relationships/image" Target="../media/image47.png"/><Relationship Id="rId10" Type="http://schemas.openxmlformats.org/officeDocument/2006/relationships/image" Target="../media/image42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Relationship Id="rId14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646232" cy="156680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285750"/>
          <a:ext cx="646232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46232" cy="156680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B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0" y="1819275"/>
          <a:ext cx="646232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52329" cy="156680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B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0600" y="3352800"/>
          <a:ext cx="652329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46232" cy="156071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B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0600" y="4886325"/>
          <a:ext cx="646232" cy="156071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46232" cy="1560711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B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00600" y="6419850"/>
          <a:ext cx="646232" cy="156071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46232" cy="1560711"/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2B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14800" y="7953375"/>
          <a:ext cx="646232" cy="156071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46232" cy="1566808"/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2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9486900"/>
          <a:ext cx="646232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46232" cy="1566808"/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2B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4800" y="11020425"/>
          <a:ext cx="646232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52329" cy="1566808"/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2B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14800" y="12553950"/>
          <a:ext cx="652329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46232" cy="1560711"/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2B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14800" y="14087475"/>
          <a:ext cx="646232" cy="156071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46232" cy="1560711"/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2B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4800" y="15621000"/>
          <a:ext cx="646232" cy="156071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46232" cy="1560711"/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2B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14800" y="17154525"/>
          <a:ext cx="646232" cy="156071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46232" cy="1579001"/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2B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14800" y="18688050"/>
          <a:ext cx="646232" cy="157900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58425" cy="1579001"/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2B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14800" y="20221575"/>
          <a:ext cx="658425" cy="157900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52329" cy="1579001"/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2B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14800" y="21755100"/>
          <a:ext cx="652329" cy="157900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58425" cy="1572904"/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2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4800" y="23288625"/>
          <a:ext cx="658425" cy="157290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52329" cy="1572904"/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2B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14800" y="24822150"/>
          <a:ext cx="652329" cy="157290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58425" cy="1572904"/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2B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14800" y="26355675"/>
          <a:ext cx="658425" cy="157290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46232" cy="1579001"/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2B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14800" y="27889200"/>
          <a:ext cx="646232" cy="157900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58425" cy="1579001"/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2B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14800" y="29422725"/>
          <a:ext cx="658425" cy="157900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52329" cy="1579001"/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2B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14800" y="30956250"/>
          <a:ext cx="652329" cy="157900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58425" cy="1572904"/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2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4800" y="32489775"/>
          <a:ext cx="658425" cy="157290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52329" cy="1572904"/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2B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14800" y="34023300"/>
          <a:ext cx="652329" cy="157290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58425" cy="1572904"/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2B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14800" y="35556825"/>
          <a:ext cx="658425" cy="157290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58425" cy="1566808"/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2B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14800" y="37090350"/>
          <a:ext cx="658425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58425" cy="1566808"/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2B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14800" y="38623875"/>
          <a:ext cx="658425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70618" cy="1566808"/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2B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114800" y="40157400"/>
          <a:ext cx="670618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58425" cy="1560711"/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2B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114800" y="41690925"/>
          <a:ext cx="658425" cy="156071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58425" cy="1560711"/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2B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114800" y="43224450"/>
          <a:ext cx="658425" cy="156071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58425" cy="1560711"/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2B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114800" y="44757975"/>
          <a:ext cx="658425" cy="156071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58425" cy="1566808"/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2B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14800" y="46291500"/>
          <a:ext cx="658425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58425" cy="1566808"/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2B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14800" y="47825025"/>
          <a:ext cx="658425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70618" cy="1566808"/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2B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114800" y="49358550"/>
          <a:ext cx="670618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58425" cy="1560711"/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2B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114800" y="50892075"/>
          <a:ext cx="658425" cy="156071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58425" cy="1560711"/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2B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114800" y="52425600"/>
          <a:ext cx="658425" cy="156071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58425" cy="1560711"/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2B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114800" y="53959125"/>
          <a:ext cx="658425" cy="1560711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53" cy="1572904"/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2B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114800" y="55492650"/>
          <a:ext cx="609653" cy="157290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53" cy="1572904"/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2B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114800" y="57026175"/>
          <a:ext cx="609653" cy="157290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27942" cy="1572904"/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2B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114800" y="58559700"/>
          <a:ext cx="627942" cy="157290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53" cy="1566808"/>
    <xdr:pic>
      <xdr:nvPicPr>
        <xdr:cNvPr id="45" name="그림 44">
          <a:extLst>
            <a:ext uri="{FF2B5EF4-FFF2-40B4-BE49-F238E27FC236}">
              <a16:creationId xmlns:a16="http://schemas.microsoft.com/office/drawing/2014/main" id="{00000000-0008-0000-2B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114800" y="60093225"/>
          <a:ext cx="609653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53" cy="1566808"/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2B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114800" y="61626750"/>
          <a:ext cx="609653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53" cy="1566808"/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2B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114800" y="63160275"/>
          <a:ext cx="609653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609653" cy="1572904"/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2B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114800" y="64693800"/>
          <a:ext cx="609653" cy="157290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609653" cy="1572904"/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2B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114800" y="66227325"/>
          <a:ext cx="609653" cy="157290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627942" cy="1572904"/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2B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114800" y="67760850"/>
          <a:ext cx="627942" cy="1572904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609653" cy="1566808"/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2B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114800" y="69294375"/>
          <a:ext cx="609653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609653" cy="1566808"/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2B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114800" y="70827900"/>
          <a:ext cx="609653" cy="156680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609653" cy="1566808"/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2B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114800" y="72361425"/>
          <a:ext cx="609653" cy="156680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1539875</xdr:colOff>
      <xdr:row>1</xdr:row>
      <xdr:rowOff>2345423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pSpPr/>
      </xdr:nvGrpSpPr>
      <xdr:grpSpPr>
        <a:xfrm>
          <a:off x="1962150" y="209550"/>
          <a:ext cx="1539875" cy="2345423"/>
          <a:chOff x="427991" y="1014807"/>
          <a:chExt cx="2595238" cy="3952875"/>
        </a:xfrm>
      </xdr:grpSpPr>
      <xdr:pic>
        <xdr:nvPicPr>
          <xdr:cNvPr id="58" name="그림 57">
            <a:extLst>
              <a:ext uri="{FF2B5EF4-FFF2-40B4-BE49-F238E27FC236}">
                <a16:creationId xmlns:a16="http://schemas.microsoft.com/office/drawing/2014/main" id="{00000000-0008-0000-2B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r="21592"/>
          <a:stretch/>
        </xdr:blipFill>
        <xdr:spPr>
          <a:xfrm>
            <a:off x="427991" y="1014807"/>
            <a:ext cx="2595238" cy="3952875"/>
          </a:xfrm>
          <a:prstGeom prst="rect">
            <a:avLst/>
          </a:prstGeom>
        </xdr:spPr>
      </xdr:pic>
      <xdr:pic>
        <xdr:nvPicPr>
          <xdr:cNvPr id="59" name="그래픽 17">
            <a:extLst>
              <a:ext uri="{FF2B5EF4-FFF2-40B4-BE49-F238E27FC236}">
                <a16:creationId xmlns:a16="http://schemas.microsoft.com/office/drawing/2014/main" id="{00000000-0008-0000-2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454015" y="1655929"/>
            <a:ext cx="1266825" cy="752475"/>
          </a:xfrm>
          <a:prstGeom prst="rect">
            <a:avLst/>
          </a:prstGeom>
        </xdr:spPr>
      </xdr:pic>
      <xdr:pic>
        <xdr:nvPicPr>
          <xdr:cNvPr id="60" name="그래픽 29" descr="일 단색으로 채워진">
            <a:extLst>
              <a:ext uri="{FF2B5EF4-FFF2-40B4-BE49-F238E27FC236}">
                <a16:creationId xmlns:a16="http://schemas.microsoft.com/office/drawing/2014/main" id="{00000000-0008-0000-2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5"/>
              </a:ext>
            </a:extLst>
          </a:blip>
          <a:srcRect l="45909" t="49224"/>
          <a:stretch>
            <a:fillRect/>
          </a:stretch>
        </xdr:blipFill>
        <xdr:spPr>
          <a:xfrm>
            <a:off x="495623" y="1124497"/>
            <a:ext cx="494607" cy="464295"/>
          </a:xfrm>
          <a:custGeom>
            <a:avLst/>
            <a:gdLst>
              <a:gd name="connsiteX0" fmla="*/ 0 w 494607"/>
              <a:gd name="connsiteY0" fmla="*/ 0 h 464295"/>
              <a:gd name="connsiteX1" fmla="*/ 494607 w 494607"/>
              <a:gd name="connsiteY1" fmla="*/ 0 h 464295"/>
              <a:gd name="connsiteX2" fmla="*/ 494607 w 494607"/>
              <a:gd name="connsiteY2" fmla="*/ 464295 h 464295"/>
              <a:gd name="connsiteX3" fmla="*/ 0 w 494607"/>
              <a:gd name="connsiteY3" fmla="*/ 464295 h 46429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494607" h="464295">
                <a:moveTo>
                  <a:pt x="0" y="0"/>
                </a:moveTo>
                <a:lnTo>
                  <a:pt x="494607" y="0"/>
                </a:lnTo>
                <a:lnTo>
                  <a:pt x="494607" y="464295"/>
                </a:lnTo>
                <a:lnTo>
                  <a:pt x="0" y="464295"/>
                </a:lnTo>
                <a:close/>
              </a:path>
            </a:pathLst>
          </a:custGeom>
        </xdr:spPr>
      </xdr:pic>
      <xdr:pic>
        <xdr:nvPicPr>
          <xdr:cNvPr id="61" name="그래픽 20">
            <a:extLst>
              <a:ext uri="{FF2B5EF4-FFF2-40B4-BE49-F238E27FC236}">
                <a16:creationId xmlns:a16="http://schemas.microsoft.com/office/drawing/2014/main" id="{00000000-0008-0000-2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96DAC541-7B7A-43D3-8B79-37D633B846F1}">
                <asvg:svgBlip xmlns:asvg="http://schemas.microsoft.com/office/drawing/2016/SVG/main" xmlns="" r:embed="rId7"/>
              </a:ext>
            </a:extLst>
          </a:blip>
          <a:srcRect r="29874"/>
          <a:stretch>
            <a:fillRect/>
          </a:stretch>
        </xdr:blipFill>
        <xdr:spPr>
          <a:xfrm>
            <a:off x="473893" y="1655929"/>
            <a:ext cx="888376" cy="752475"/>
          </a:xfrm>
          <a:custGeom>
            <a:avLst/>
            <a:gdLst>
              <a:gd name="connsiteX0" fmla="*/ 0 w 888376"/>
              <a:gd name="connsiteY0" fmla="*/ 0 h 752475"/>
              <a:gd name="connsiteX1" fmla="*/ 888376 w 888376"/>
              <a:gd name="connsiteY1" fmla="*/ 0 h 752475"/>
              <a:gd name="connsiteX2" fmla="*/ 888376 w 888376"/>
              <a:gd name="connsiteY2" fmla="*/ 752475 h 752475"/>
              <a:gd name="connsiteX3" fmla="*/ 0 w 888376"/>
              <a:gd name="connsiteY3" fmla="*/ 752475 h 7524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888376" h="752475">
                <a:moveTo>
                  <a:pt x="0" y="0"/>
                </a:moveTo>
                <a:lnTo>
                  <a:pt x="888376" y="0"/>
                </a:lnTo>
                <a:lnTo>
                  <a:pt x="888376" y="752475"/>
                </a:lnTo>
                <a:lnTo>
                  <a:pt x="0" y="752475"/>
                </a:lnTo>
                <a:close/>
              </a:path>
            </a:pathLst>
          </a:custGeom>
        </xdr:spPr>
      </xdr:pic>
      <xdr:sp macro="" textlink="">
        <xdr:nvSpPr>
          <xdr:cNvPr id="62" name="화살표: 오른쪽 110">
            <a:extLst>
              <a:ext uri="{FF2B5EF4-FFF2-40B4-BE49-F238E27FC236}">
                <a16:creationId xmlns:a16="http://schemas.microsoft.com/office/drawing/2014/main" id="{00000000-0008-0000-2B00-000007000000}"/>
              </a:ext>
            </a:extLst>
          </xdr:cNvPr>
          <xdr:cNvSpPr/>
        </xdr:nvSpPr>
        <xdr:spPr>
          <a:xfrm>
            <a:off x="1768277" y="2206033"/>
            <a:ext cx="367748" cy="215444"/>
          </a:xfrm>
          <a:prstGeom prst="rightArrow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3" name="화살표: 오른쪽 111">
            <a:extLst>
              <a:ext uri="{FF2B5EF4-FFF2-40B4-BE49-F238E27FC236}">
                <a16:creationId xmlns:a16="http://schemas.microsoft.com/office/drawing/2014/main" id="{00000000-0008-0000-2B00-000008000000}"/>
              </a:ext>
            </a:extLst>
          </xdr:cNvPr>
          <xdr:cNvSpPr/>
        </xdr:nvSpPr>
        <xdr:spPr>
          <a:xfrm rot="10800000">
            <a:off x="994521" y="2957756"/>
            <a:ext cx="367748" cy="215444"/>
          </a:xfrm>
          <a:prstGeom prst="rightArrow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2B00-000009000000}"/>
              </a:ext>
            </a:extLst>
          </xdr:cNvPr>
          <xdr:cNvSpPr/>
        </xdr:nvSpPr>
        <xdr:spPr>
          <a:xfrm>
            <a:off x="1362269" y="3010144"/>
            <a:ext cx="288000" cy="124278"/>
          </a:xfrm>
          <a:prstGeom prst="rect">
            <a:avLst/>
          </a:prstGeom>
          <a:solidFill>
            <a:srgbClr val="FFC000">
              <a:alpha val="2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00000-0008-0000-2B00-00000A000000}"/>
              </a:ext>
            </a:extLst>
          </xdr:cNvPr>
          <xdr:cNvSpPr/>
        </xdr:nvSpPr>
        <xdr:spPr>
          <a:xfrm>
            <a:off x="1720840" y="2913893"/>
            <a:ext cx="714247" cy="315424"/>
          </a:xfrm>
          <a:prstGeom prst="rect">
            <a:avLst/>
          </a:prstGeom>
          <a:solidFill>
            <a:srgbClr val="FFC000">
              <a:alpha val="9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1562465</xdr:colOff>
      <xdr:row>2</xdr:row>
      <xdr:rowOff>2311513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GrpSpPr/>
      </xdr:nvGrpSpPr>
      <xdr:grpSpPr>
        <a:xfrm>
          <a:off x="1962150" y="2638425"/>
          <a:ext cx="1562465" cy="2311513"/>
          <a:chOff x="3090544" y="1071957"/>
          <a:chExt cx="2633310" cy="3895725"/>
        </a:xfrm>
      </xdr:grpSpPr>
      <xdr:pic>
        <xdr:nvPicPr>
          <xdr:cNvPr id="67" name="그림 66">
            <a:extLst>
              <a:ext uri="{FF2B5EF4-FFF2-40B4-BE49-F238E27FC236}">
                <a16:creationId xmlns:a16="http://schemas.microsoft.com/office/drawing/2014/main" id="{00000000-0008-0000-2B00-00000C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r="19395"/>
          <a:stretch/>
        </xdr:blipFill>
        <xdr:spPr>
          <a:xfrm>
            <a:off x="3577953" y="1071957"/>
            <a:ext cx="2145901" cy="3895725"/>
          </a:xfrm>
          <a:prstGeom prst="rect">
            <a:avLst/>
          </a:prstGeom>
        </xdr:spPr>
      </xdr:pic>
      <xdr:pic>
        <xdr:nvPicPr>
          <xdr:cNvPr id="68" name="그래픽 30">
            <a:extLst>
              <a:ext uri="{FF2B5EF4-FFF2-40B4-BE49-F238E27FC236}">
                <a16:creationId xmlns:a16="http://schemas.microsoft.com/office/drawing/2014/main" id="{00000000-0008-0000-2B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3090544" y="1655929"/>
            <a:ext cx="1266825" cy="752475"/>
          </a:xfrm>
          <a:prstGeom prst="rect">
            <a:avLst/>
          </a:prstGeom>
        </xdr:spPr>
      </xdr:pic>
      <xdr:pic>
        <xdr:nvPicPr>
          <xdr:cNvPr id="69" name="그래픽 31" descr="일 단색으로 채워진">
            <a:extLst>
              <a:ext uri="{FF2B5EF4-FFF2-40B4-BE49-F238E27FC236}">
                <a16:creationId xmlns:a16="http://schemas.microsoft.com/office/drawing/2014/main" id="{00000000-0008-0000-2B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5"/>
              </a:ext>
            </a:extLst>
          </a:blip>
          <a:srcRect l="45909" t="49224"/>
          <a:stretch>
            <a:fillRect/>
          </a:stretch>
        </xdr:blipFill>
        <xdr:spPr>
          <a:xfrm>
            <a:off x="3132152" y="1124497"/>
            <a:ext cx="494607" cy="464295"/>
          </a:xfrm>
          <a:custGeom>
            <a:avLst/>
            <a:gdLst>
              <a:gd name="connsiteX0" fmla="*/ 0 w 494607"/>
              <a:gd name="connsiteY0" fmla="*/ 0 h 464295"/>
              <a:gd name="connsiteX1" fmla="*/ 494607 w 494607"/>
              <a:gd name="connsiteY1" fmla="*/ 0 h 464295"/>
              <a:gd name="connsiteX2" fmla="*/ 494607 w 494607"/>
              <a:gd name="connsiteY2" fmla="*/ 464295 h 464295"/>
              <a:gd name="connsiteX3" fmla="*/ 0 w 494607"/>
              <a:gd name="connsiteY3" fmla="*/ 464295 h 46429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494607" h="464295">
                <a:moveTo>
                  <a:pt x="0" y="0"/>
                </a:moveTo>
                <a:lnTo>
                  <a:pt x="494607" y="0"/>
                </a:lnTo>
                <a:lnTo>
                  <a:pt x="494607" y="464295"/>
                </a:lnTo>
                <a:lnTo>
                  <a:pt x="0" y="464295"/>
                </a:lnTo>
                <a:close/>
              </a:path>
            </a:pathLst>
          </a:custGeom>
        </xdr:spPr>
      </xdr:pic>
      <xdr:pic>
        <xdr:nvPicPr>
          <xdr:cNvPr id="70" name="그래픽 32">
            <a:extLst>
              <a:ext uri="{FF2B5EF4-FFF2-40B4-BE49-F238E27FC236}">
                <a16:creationId xmlns:a16="http://schemas.microsoft.com/office/drawing/2014/main" id="{00000000-0008-0000-2B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96DAC541-7B7A-43D3-8B79-37D633B846F1}">
                <asvg:svgBlip xmlns:asvg="http://schemas.microsoft.com/office/drawing/2016/SVG/main" xmlns="" r:embed="rId7"/>
              </a:ext>
            </a:extLst>
          </a:blip>
          <a:srcRect r="29874"/>
          <a:stretch>
            <a:fillRect/>
          </a:stretch>
        </xdr:blipFill>
        <xdr:spPr>
          <a:xfrm>
            <a:off x="3110422" y="1655929"/>
            <a:ext cx="888376" cy="752475"/>
          </a:xfrm>
          <a:custGeom>
            <a:avLst/>
            <a:gdLst>
              <a:gd name="connsiteX0" fmla="*/ 0 w 888376"/>
              <a:gd name="connsiteY0" fmla="*/ 0 h 752475"/>
              <a:gd name="connsiteX1" fmla="*/ 888376 w 888376"/>
              <a:gd name="connsiteY1" fmla="*/ 0 h 752475"/>
              <a:gd name="connsiteX2" fmla="*/ 888376 w 888376"/>
              <a:gd name="connsiteY2" fmla="*/ 752475 h 752475"/>
              <a:gd name="connsiteX3" fmla="*/ 0 w 888376"/>
              <a:gd name="connsiteY3" fmla="*/ 752475 h 7524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888376" h="752475">
                <a:moveTo>
                  <a:pt x="0" y="0"/>
                </a:moveTo>
                <a:lnTo>
                  <a:pt x="888376" y="0"/>
                </a:lnTo>
                <a:lnTo>
                  <a:pt x="888376" y="752475"/>
                </a:lnTo>
                <a:lnTo>
                  <a:pt x="0" y="752475"/>
                </a:lnTo>
                <a:close/>
              </a:path>
            </a:pathLst>
          </a:custGeom>
        </xdr:spPr>
      </xdr:pic>
      <xdr:sp macro="" textlink="">
        <xdr:nvSpPr>
          <xdr:cNvPr id="71" name="화살표: 오른쪽 102">
            <a:extLst>
              <a:ext uri="{FF2B5EF4-FFF2-40B4-BE49-F238E27FC236}">
                <a16:creationId xmlns:a16="http://schemas.microsoft.com/office/drawing/2014/main" id="{00000000-0008-0000-2B00-000010000000}"/>
              </a:ext>
            </a:extLst>
          </xdr:cNvPr>
          <xdr:cNvSpPr/>
        </xdr:nvSpPr>
        <xdr:spPr>
          <a:xfrm>
            <a:off x="4404806" y="2206033"/>
            <a:ext cx="367748" cy="215444"/>
          </a:xfrm>
          <a:prstGeom prst="rightArrow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2" name="화살표: 오른쪽 103">
            <a:extLst>
              <a:ext uri="{FF2B5EF4-FFF2-40B4-BE49-F238E27FC236}">
                <a16:creationId xmlns:a16="http://schemas.microsoft.com/office/drawing/2014/main" id="{00000000-0008-0000-2B00-000011000000}"/>
              </a:ext>
            </a:extLst>
          </xdr:cNvPr>
          <xdr:cNvSpPr/>
        </xdr:nvSpPr>
        <xdr:spPr>
          <a:xfrm rot="10800000">
            <a:off x="3631050" y="2957756"/>
            <a:ext cx="367748" cy="215444"/>
          </a:xfrm>
          <a:prstGeom prst="rightArrow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2B00-000012000000}"/>
              </a:ext>
            </a:extLst>
          </xdr:cNvPr>
          <xdr:cNvSpPr/>
        </xdr:nvSpPr>
        <xdr:spPr>
          <a:xfrm>
            <a:off x="3998798" y="3010144"/>
            <a:ext cx="288000" cy="124278"/>
          </a:xfrm>
          <a:prstGeom prst="rect">
            <a:avLst/>
          </a:prstGeom>
          <a:solidFill>
            <a:srgbClr val="FFC000">
              <a:alpha val="2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74" name="직사각형 73">
            <a:extLst>
              <a:ext uri="{FF2B5EF4-FFF2-40B4-BE49-F238E27FC236}">
                <a16:creationId xmlns:a16="http://schemas.microsoft.com/office/drawing/2014/main" id="{00000000-0008-0000-2B00-000013000000}"/>
              </a:ext>
            </a:extLst>
          </xdr:cNvPr>
          <xdr:cNvSpPr/>
        </xdr:nvSpPr>
        <xdr:spPr>
          <a:xfrm>
            <a:off x="4357369" y="2913893"/>
            <a:ext cx="714247" cy="315424"/>
          </a:xfrm>
          <a:prstGeom prst="rect">
            <a:avLst/>
          </a:prstGeom>
          <a:solidFill>
            <a:srgbClr val="FFC000">
              <a:alpha val="9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1562465</xdr:colOff>
      <xdr:row>3</xdr:row>
      <xdr:rowOff>2311513</xdr:rowOff>
    </xdr:to>
    <xdr:grpSp>
      <xdr:nvGrpSpPr>
        <xdr:cNvPr id="75" name="그룹 74">
          <a:extLst>
            <a:ext uri="{FF2B5EF4-FFF2-40B4-BE49-F238E27FC236}">
              <a16:creationId xmlns:a16="http://schemas.microsoft.com/office/drawing/2014/main" id="{00000000-0008-0000-2B00-000051000000}"/>
            </a:ext>
          </a:extLst>
        </xdr:cNvPr>
        <xdr:cNvGrpSpPr/>
      </xdr:nvGrpSpPr>
      <xdr:grpSpPr>
        <a:xfrm>
          <a:off x="1962150" y="5067300"/>
          <a:ext cx="1562465" cy="2311513"/>
          <a:chOff x="3090544" y="1071957"/>
          <a:chExt cx="2633310" cy="3895725"/>
        </a:xfrm>
      </xdr:grpSpPr>
      <xdr:pic>
        <xdr:nvPicPr>
          <xdr:cNvPr id="76" name="그림 75">
            <a:extLst>
              <a:ext uri="{FF2B5EF4-FFF2-40B4-BE49-F238E27FC236}">
                <a16:creationId xmlns:a16="http://schemas.microsoft.com/office/drawing/2014/main" id="{00000000-0008-0000-2B00-00005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r="19395"/>
          <a:stretch/>
        </xdr:blipFill>
        <xdr:spPr>
          <a:xfrm>
            <a:off x="3577953" y="1071957"/>
            <a:ext cx="2145901" cy="3895725"/>
          </a:xfrm>
          <a:prstGeom prst="rect">
            <a:avLst/>
          </a:prstGeom>
        </xdr:spPr>
      </xdr:pic>
      <xdr:pic>
        <xdr:nvPicPr>
          <xdr:cNvPr id="77" name="그래픽 30">
            <a:extLst>
              <a:ext uri="{FF2B5EF4-FFF2-40B4-BE49-F238E27FC236}">
                <a16:creationId xmlns:a16="http://schemas.microsoft.com/office/drawing/2014/main" id="{00000000-0008-0000-2B00-00005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3090544" y="1655929"/>
            <a:ext cx="1266825" cy="752475"/>
          </a:xfrm>
          <a:prstGeom prst="rect">
            <a:avLst/>
          </a:prstGeom>
        </xdr:spPr>
      </xdr:pic>
      <xdr:pic>
        <xdr:nvPicPr>
          <xdr:cNvPr id="78" name="그래픽 31" descr="일 단색으로 채워진">
            <a:extLst>
              <a:ext uri="{FF2B5EF4-FFF2-40B4-BE49-F238E27FC236}">
                <a16:creationId xmlns:a16="http://schemas.microsoft.com/office/drawing/2014/main" id="{00000000-0008-0000-2B00-00005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5"/>
              </a:ext>
            </a:extLst>
          </a:blip>
          <a:srcRect l="45909" t="49224"/>
          <a:stretch>
            <a:fillRect/>
          </a:stretch>
        </xdr:blipFill>
        <xdr:spPr>
          <a:xfrm>
            <a:off x="3132152" y="1124497"/>
            <a:ext cx="494607" cy="464295"/>
          </a:xfrm>
          <a:custGeom>
            <a:avLst/>
            <a:gdLst>
              <a:gd name="connsiteX0" fmla="*/ 0 w 494607"/>
              <a:gd name="connsiteY0" fmla="*/ 0 h 464295"/>
              <a:gd name="connsiteX1" fmla="*/ 494607 w 494607"/>
              <a:gd name="connsiteY1" fmla="*/ 0 h 464295"/>
              <a:gd name="connsiteX2" fmla="*/ 494607 w 494607"/>
              <a:gd name="connsiteY2" fmla="*/ 464295 h 464295"/>
              <a:gd name="connsiteX3" fmla="*/ 0 w 494607"/>
              <a:gd name="connsiteY3" fmla="*/ 464295 h 46429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494607" h="464295">
                <a:moveTo>
                  <a:pt x="0" y="0"/>
                </a:moveTo>
                <a:lnTo>
                  <a:pt x="494607" y="0"/>
                </a:lnTo>
                <a:lnTo>
                  <a:pt x="494607" y="464295"/>
                </a:lnTo>
                <a:lnTo>
                  <a:pt x="0" y="464295"/>
                </a:lnTo>
                <a:close/>
              </a:path>
            </a:pathLst>
          </a:custGeom>
        </xdr:spPr>
      </xdr:pic>
      <xdr:pic>
        <xdr:nvPicPr>
          <xdr:cNvPr id="79" name="그래픽 32">
            <a:extLst>
              <a:ext uri="{FF2B5EF4-FFF2-40B4-BE49-F238E27FC236}">
                <a16:creationId xmlns:a16="http://schemas.microsoft.com/office/drawing/2014/main" id="{00000000-0008-0000-2B00-00005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96DAC541-7B7A-43D3-8B79-37D633B846F1}">
                <asvg:svgBlip xmlns:asvg="http://schemas.microsoft.com/office/drawing/2016/SVG/main" xmlns="" r:embed="rId7"/>
              </a:ext>
            </a:extLst>
          </a:blip>
          <a:srcRect r="29874"/>
          <a:stretch>
            <a:fillRect/>
          </a:stretch>
        </xdr:blipFill>
        <xdr:spPr>
          <a:xfrm>
            <a:off x="3110422" y="1655929"/>
            <a:ext cx="888376" cy="752475"/>
          </a:xfrm>
          <a:custGeom>
            <a:avLst/>
            <a:gdLst>
              <a:gd name="connsiteX0" fmla="*/ 0 w 888376"/>
              <a:gd name="connsiteY0" fmla="*/ 0 h 752475"/>
              <a:gd name="connsiteX1" fmla="*/ 888376 w 888376"/>
              <a:gd name="connsiteY1" fmla="*/ 0 h 752475"/>
              <a:gd name="connsiteX2" fmla="*/ 888376 w 888376"/>
              <a:gd name="connsiteY2" fmla="*/ 752475 h 752475"/>
              <a:gd name="connsiteX3" fmla="*/ 0 w 888376"/>
              <a:gd name="connsiteY3" fmla="*/ 752475 h 7524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888376" h="752475">
                <a:moveTo>
                  <a:pt x="0" y="0"/>
                </a:moveTo>
                <a:lnTo>
                  <a:pt x="888376" y="0"/>
                </a:lnTo>
                <a:lnTo>
                  <a:pt x="888376" y="752475"/>
                </a:lnTo>
                <a:lnTo>
                  <a:pt x="0" y="752475"/>
                </a:lnTo>
                <a:close/>
              </a:path>
            </a:pathLst>
          </a:custGeom>
        </xdr:spPr>
      </xdr:pic>
      <xdr:sp macro="" textlink="">
        <xdr:nvSpPr>
          <xdr:cNvPr id="80" name="화살표: 오른쪽 102">
            <a:extLst>
              <a:ext uri="{FF2B5EF4-FFF2-40B4-BE49-F238E27FC236}">
                <a16:creationId xmlns:a16="http://schemas.microsoft.com/office/drawing/2014/main" id="{00000000-0008-0000-2B00-000056000000}"/>
              </a:ext>
            </a:extLst>
          </xdr:cNvPr>
          <xdr:cNvSpPr/>
        </xdr:nvSpPr>
        <xdr:spPr>
          <a:xfrm>
            <a:off x="4404806" y="2206033"/>
            <a:ext cx="367748" cy="215444"/>
          </a:xfrm>
          <a:prstGeom prst="rightArrow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81" name="화살표: 오른쪽 103">
            <a:extLst>
              <a:ext uri="{FF2B5EF4-FFF2-40B4-BE49-F238E27FC236}">
                <a16:creationId xmlns:a16="http://schemas.microsoft.com/office/drawing/2014/main" id="{00000000-0008-0000-2B00-000057000000}"/>
              </a:ext>
            </a:extLst>
          </xdr:cNvPr>
          <xdr:cNvSpPr/>
        </xdr:nvSpPr>
        <xdr:spPr>
          <a:xfrm rot="10800000">
            <a:off x="3631050" y="2957756"/>
            <a:ext cx="367748" cy="215444"/>
          </a:xfrm>
          <a:prstGeom prst="rightArrow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2B00-000058000000}"/>
              </a:ext>
            </a:extLst>
          </xdr:cNvPr>
          <xdr:cNvSpPr/>
        </xdr:nvSpPr>
        <xdr:spPr>
          <a:xfrm>
            <a:off x="3998798" y="3010144"/>
            <a:ext cx="288000" cy="124278"/>
          </a:xfrm>
          <a:prstGeom prst="rect">
            <a:avLst/>
          </a:prstGeom>
          <a:solidFill>
            <a:srgbClr val="FFC000">
              <a:alpha val="2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00000000-0008-0000-2B00-000059000000}"/>
              </a:ext>
            </a:extLst>
          </xdr:cNvPr>
          <xdr:cNvSpPr/>
        </xdr:nvSpPr>
        <xdr:spPr>
          <a:xfrm>
            <a:off x="4357369" y="2913893"/>
            <a:ext cx="714247" cy="315424"/>
          </a:xfrm>
          <a:prstGeom prst="rect">
            <a:avLst/>
          </a:prstGeom>
          <a:solidFill>
            <a:srgbClr val="FFC000">
              <a:alpha val="9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1621734</xdr:colOff>
      <xdr:row>4</xdr:row>
      <xdr:rowOff>2305493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0000000-0008-0000-2B00-000014000000}"/>
            </a:ext>
          </a:extLst>
        </xdr:cNvPr>
        <xdr:cNvGrpSpPr/>
      </xdr:nvGrpSpPr>
      <xdr:grpSpPr>
        <a:xfrm>
          <a:off x="1962150" y="7496175"/>
          <a:ext cx="1621734" cy="2305493"/>
          <a:chOff x="5844726" y="1071957"/>
          <a:chExt cx="2733199" cy="3885578"/>
        </a:xfrm>
      </xdr:grpSpPr>
      <xdr:pic>
        <xdr:nvPicPr>
          <xdr:cNvPr id="85" name="그림 84">
            <a:extLst>
              <a:ext uri="{FF2B5EF4-FFF2-40B4-BE49-F238E27FC236}">
                <a16:creationId xmlns:a16="http://schemas.microsoft.com/office/drawing/2014/main" id="{00000000-0008-0000-2B00-00001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r="17674" b="1346"/>
          <a:stretch/>
        </xdr:blipFill>
        <xdr:spPr>
          <a:xfrm>
            <a:off x="6327385" y="1071957"/>
            <a:ext cx="2250540" cy="3885578"/>
          </a:xfrm>
          <a:prstGeom prst="rect">
            <a:avLst/>
          </a:prstGeom>
        </xdr:spPr>
      </xdr:pic>
      <xdr:pic>
        <xdr:nvPicPr>
          <xdr:cNvPr id="86" name="그래픽 37">
            <a:extLst>
              <a:ext uri="{FF2B5EF4-FFF2-40B4-BE49-F238E27FC236}">
                <a16:creationId xmlns:a16="http://schemas.microsoft.com/office/drawing/2014/main" id="{00000000-0008-0000-2B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5844726" y="1655929"/>
            <a:ext cx="1266825" cy="752475"/>
          </a:xfrm>
          <a:prstGeom prst="rect">
            <a:avLst/>
          </a:prstGeom>
        </xdr:spPr>
      </xdr:pic>
      <xdr:pic>
        <xdr:nvPicPr>
          <xdr:cNvPr id="87" name="그래픽 38" descr="일 단색으로 채워진">
            <a:extLst>
              <a:ext uri="{FF2B5EF4-FFF2-40B4-BE49-F238E27FC236}">
                <a16:creationId xmlns:a16="http://schemas.microsoft.com/office/drawing/2014/main" id="{00000000-0008-0000-2B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5"/>
              </a:ext>
            </a:extLst>
          </a:blip>
          <a:srcRect l="45909" t="49224"/>
          <a:stretch>
            <a:fillRect/>
          </a:stretch>
        </xdr:blipFill>
        <xdr:spPr>
          <a:xfrm>
            <a:off x="5886334" y="1124497"/>
            <a:ext cx="494607" cy="464295"/>
          </a:xfrm>
          <a:custGeom>
            <a:avLst/>
            <a:gdLst>
              <a:gd name="connsiteX0" fmla="*/ 0 w 494607"/>
              <a:gd name="connsiteY0" fmla="*/ 0 h 464295"/>
              <a:gd name="connsiteX1" fmla="*/ 494607 w 494607"/>
              <a:gd name="connsiteY1" fmla="*/ 0 h 464295"/>
              <a:gd name="connsiteX2" fmla="*/ 494607 w 494607"/>
              <a:gd name="connsiteY2" fmla="*/ 464295 h 464295"/>
              <a:gd name="connsiteX3" fmla="*/ 0 w 494607"/>
              <a:gd name="connsiteY3" fmla="*/ 464295 h 46429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494607" h="464295">
                <a:moveTo>
                  <a:pt x="0" y="0"/>
                </a:moveTo>
                <a:lnTo>
                  <a:pt x="494607" y="0"/>
                </a:lnTo>
                <a:lnTo>
                  <a:pt x="494607" y="464295"/>
                </a:lnTo>
                <a:lnTo>
                  <a:pt x="0" y="464295"/>
                </a:lnTo>
                <a:close/>
              </a:path>
            </a:pathLst>
          </a:custGeom>
        </xdr:spPr>
      </xdr:pic>
      <xdr:pic>
        <xdr:nvPicPr>
          <xdr:cNvPr id="88" name="그래픽 52">
            <a:extLst>
              <a:ext uri="{FF2B5EF4-FFF2-40B4-BE49-F238E27FC236}">
                <a16:creationId xmlns:a16="http://schemas.microsoft.com/office/drawing/2014/main" id="{00000000-0008-0000-2B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96DAC541-7B7A-43D3-8B79-37D633B846F1}">
                <asvg:svgBlip xmlns:asvg="http://schemas.microsoft.com/office/drawing/2016/SVG/main" xmlns="" r:embed="rId7"/>
              </a:ext>
            </a:extLst>
          </a:blip>
          <a:srcRect r="56313"/>
          <a:stretch>
            <a:fillRect/>
          </a:stretch>
        </xdr:blipFill>
        <xdr:spPr>
          <a:xfrm>
            <a:off x="5864605" y="1655929"/>
            <a:ext cx="553443" cy="752475"/>
          </a:xfrm>
          <a:custGeom>
            <a:avLst/>
            <a:gdLst>
              <a:gd name="connsiteX0" fmla="*/ 0 w 553443"/>
              <a:gd name="connsiteY0" fmla="*/ 0 h 752475"/>
              <a:gd name="connsiteX1" fmla="*/ 553443 w 553443"/>
              <a:gd name="connsiteY1" fmla="*/ 0 h 752475"/>
              <a:gd name="connsiteX2" fmla="*/ 553443 w 553443"/>
              <a:gd name="connsiteY2" fmla="*/ 752475 h 752475"/>
              <a:gd name="connsiteX3" fmla="*/ 0 w 553443"/>
              <a:gd name="connsiteY3" fmla="*/ 752475 h 7524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53443" h="752475">
                <a:moveTo>
                  <a:pt x="0" y="0"/>
                </a:moveTo>
                <a:lnTo>
                  <a:pt x="553443" y="0"/>
                </a:lnTo>
                <a:lnTo>
                  <a:pt x="553443" y="752475"/>
                </a:lnTo>
                <a:lnTo>
                  <a:pt x="0" y="752475"/>
                </a:lnTo>
                <a:close/>
              </a:path>
            </a:pathLst>
          </a:custGeom>
        </xdr:spPr>
      </xdr:pic>
      <xdr:sp macro="" textlink="">
        <xdr:nvSpPr>
          <xdr:cNvPr id="89" name="화살표: 오른쪽 88">
            <a:extLst>
              <a:ext uri="{FF2B5EF4-FFF2-40B4-BE49-F238E27FC236}">
                <a16:creationId xmlns:a16="http://schemas.microsoft.com/office/drawing/2014/main" id="{00000000-0008-0000-2B00-000019000000}"/>
              </a:ext>
            </a:extLst>
          </xdr:cNvPr>
          <xdr:cNvSpPr/>
        </xdr:nvSpPr>
        <xdr:spPr>
          <a:xfrm>
            <a:off x="7158988" y="2206033"/>
            <a:ext cx="367748" cy="215444"/>
          </a:xfrm>
          <a:prstGeom prst="rightArrow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90" name="화살표: 오른쪽 89">
            <a:extLst>
              <a:ext uri="{FF2B5EF4-FFF2-40B4-BE49-F238E27FC236}">
                <a16:creationId xmlns:a16="http://schemas.microsoft.com/office/drawing/2014/main" id="{00000000-0008-0000-2B00-00001A000000}"/>
              </a:ext>
            </a:extLst>
          </xdr:cNvPr>
          <xdr:cNvSpPr/>
        </xdr:nvSpPr>
        <xdr:spPr>
          <a:xfrm rot="10800000">
            <a:off x="6056317" y="2957756"/>
            <a:ext cx="367748" cy="215444"/>
          </a:xfrm>
          <a:prstGeom prst="rightArrow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2B00-00001B000000}"/>
              </a:ext>
            </a:extLst>
          </xdr:cNvPr>
          <xdr:cNvSpPr/>
        </xdr:nvSpPr>
        <xdr:spPr>
          <a:xfrm>
            <a:off x="6474688" y="3010144"/>
            <a:ext cx="576000" cy="124278"/>
          </a:xfrm>
          <a:prstGeom prst="rect">
            <a:avLst/>
          </a:prstGeom>
          <a:solidFill>
            <a:srgbClr val="FFC000">
              <a:alpha val="2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00000000-0008-0000-2B00-00001C000000}"/>
              </a:ext>
            </a:extLst>
          </xdr:cNvPr>
          <xdr:cNvSpPr/>
        </xdr:nvSpPr>
        <xdr:spPr>
          <a:xfrm>
            <a:off x="7111551" y="2913893"/>
            <a:ext cx="714247" cy="315424"/>
          </a:xfrm>
          <a:prstGeom prst="rect">
            <a:avLst/>
          </a:prstGeom>
          <a:solidFill>
            <a:srgbClr val="FFC000">
              <a:alpha val="9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1521246</xdr:colOff>
      <xdr:row>5</xdr:row>
      <xdr:rowOff>2280430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0000000-0008-0000-2B00-00001D000000}"/>
            </a:ext>
          </a:extLst>
        </xdr:cNvPr>
        <xdr:cNvGrpSpPr/>
      </xdr:nvGrpSpPr>
      <xdr:grpSpPr>
        <a:xfrm>
          <a:off x="1962150" y="9925050"/>
          <a:ext cx="1521246" cy="2280430"/>
          <a:chOff x="8548107" y="1114197"/>
          <a:chExt cx="2563841" cy="3843338"/>
        </a:xfrm>
      </xdr:grpSpPr>
      <xdr:pic>
        <xdr:nvPicPr>
          <xdr:cNvPr id="94" name="그림 93">
            <a:extLst>
              <a:ext uri="{FF2B5EF4-FFF2-40B4-BE49-F238E27FC236}">
                <a16:creationId xmlns:a16="http://schemas.microsoft.com/office/drawing/2014/main" id="{00000000-0008-0000-2B00-00001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r="20985"/>
          <a:stretch/>
        </xdr:blipFill>
        <xdr:spPr>
          <a:xfrm>
            <a:off x="9061059" y="1114197"/>
            <a:ext cx="2050889" cy="3843338"/>
          </a:xfrm>
          <a:prstGeom prst="rect">
            <a:avLst/>
          </a:prstGeom>
        </xdr:spPr>
      </xdr:pic>
      <xdr:pic>
        <xdr:nvPicPr>
          <xdr:cNvPr id="95" name="그래픽 44">
            <a:extLst>
              <a:ext uri="{FF2B5EF4-FFF2-40B4-BE49-F238E27FC236}">
                <a16:creationId xmlns:a16="http://schemas.microsoft.com/office/drawing/2014/main" id="{00000000-0008-0000-2B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8548107" y="1655929"/>
            <a:ext cx="1266825" cy="752475"/>
          </a:xfrm>
          <a:prstGeom prst="rect">
            <a:avLst/>
          </a:prstGeom>
        </xdr:spPr>
      </xdr:pic>
      <xdr:pic>
        <xdr:nvPicPr>
          <xdr:cNvPr id="96" name="그래픽 45" descr="일 단색으로 채워진">
            <a:extLst>
              <a:ext uri="{FF2B5EF4-FFF2-40B4-BE49-F238E27FC236}">
                <a16:creationId xmlns:a16="http://schemas.microsoft.com/office/drawing/2014/main" id="{00000000-0008-0000-2B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5"/>
              </a:ext>
            </a:extLst>
          </a:blip>
          <a:srcRect l="45909" t="49224"/>
          <a:stretch>
            <a:fillRect/>
          </a:stretch>
        </xdr:blipFill>
        <xdr:spPr>
          <a:xfrm>
            <a:off x="8599654" y="1124497"/>
            <a:ext cx="494607" cy="464295"/>
          </a:xfrm>
          <a:custGeom>
            <a:avLst/>
            <a:gdLst>
              <a:gd name="connsiteX0" fmla="*/ 0 w 494607"/>
              <a:gd name="connsiteY0" fmla="*/ 0 h 464295"/>
              <a:gd name="connsiteX1" fmla="*/ 494607 w 494607"/>
              <a:gd name="connsiteY1" fmla="*/ 0 h 464295"/>
              <a:gd name="connsiteX2" fmla="*/ 494607 w 494607"/>
              <a:gd name="connsiteY2" fmla="*/ 464295 h 464295"/>
              <a:gd name="connsiteX3" fmla="*/ 0 w 494607"/>
              <a:gd name="connsiteY3" fmla="*/ 464295 h 46429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494607" h="464295">
                <a:moveTo>
                  <a:pt x="0" y="0"/>
                </a:moveTo>
                <a:lnTo>
                  <a:pt x="494607" y="0"/>
                </a:lnTo>
                <a:lnTo>
                  <a:pt x="494607" y="464295"/>
                </a:lnTo>
                <a:lnTo>
                  <a:pt x="0" y="464295"/>
                </a:lnTo>
                <a:close/>
              </a:path>
            </a:pathLst>
          </a:custGeom>
        </xdr:spPr>
      </xdr:pic>
      <xdr:pic>
        <xdr:nvPicPr>
          <xdr:cNvPr id="97" name="그래픽 46">
            <a:extLst>
              <a:ext uri="{FF2B5EF4-FFF2-40B4-BE49-F238E27FC236}">
                <a16:creationId xmlns:a16="http://schemas.microsoft.com/office/drawing/2014/main" id="{00000000-0008-0000-2B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96DAC541-7B7A-43D3-8B79-37D633B846F1}">
                <asvg:svgBlip xmlns:asvg="http://schemas.microsoft.com/office/drawing/2016/SVG/main" xmlns="" r:embed="rId7"/>
              </a:ext>
            </a:extLst>
          </a:blip>
          <a:srcRect r="29874"/>
          <a:stretch>
            <a:fillRect/>
          </a:stretch>
        </xdr:blipFill>
        <xdr:spPr>
          <a:xfrm>
            <a:off x="8577924" y="1655929"/>
            <a:ext cx="888376" cy="752475"/>
          </a:xfrm>
          <a:custGeom>
            <a:avLst/>
            <a:gdLst>
              <a:gd name="connsiteX0" fmla="*/ 0 w 888376"/>
              <a:gd name="connsiteY0" fmla="*/ 0 h 752475"/>
              <a:gd name="connsiteX1" fmla="*/ 888376 w 888376"/>
              <a:gd name="connsiteY1" fmla="*/ 0 h 752475"/>
              <a:gd name="connsiteX2" fmla="*/ 888376 w 888376"/>
              <a:gd name="connsiteY2" fmla="*/ 752475 h 752475"/>
              <a:gd name="connsiteX3" fmla="*/ 0 w 888376"/>
              <a:gd name="connsiteY3" fmla="*/ 752475 h 7524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888376" h="752475">
                <a:moveTo>
                  <a:pt x="0" y="0"/>
                </a:moveTo>
                <a:lnTo>
                  <a:pt x="888376" y="0"/>
                </a:lnTo>
                <a:lnTo>
                  <a:pt x="888376" y="752475"/>
                </a:lnTo>
                <a:lnTo>
                  <a:pt x="0" y="752475"/>
                </a:lnTo>
                <a:close/>
              </a:path>
            </a:pathLst>
          </a:custGeom>
        </xdr:spPr>
      </xdr:pic>
      <xdr:sp macro="" textlink="">
        <xdr:nvSpPr>
          <xdr:cNvPr id="98" name="화살표: 오른쪽 80">
            <a:extLst>
              <a:ext uri="{FF2B5EF4-FFF2-40B4-BE49-F238E27FC236}">
                <a16:creationId xmlns:a16="http://schemas.microsoft.com/office/drawing/2014/main" id="{00000000-0008-0000-2B00-000022000000}"/>
              </a:ext>
            </a:extLst>
          </xdr:cNvPr>
          <xdr:cNvSpPr/>
        </xdr:nvSpPr>
        <xdr:spPr>
          <a:xfrm>
            <a:off x="9862369" y="2206033"/>
            <a:ext cx="367748" cy="215444"/>
          </a:xfrm>
          <a:prstGeom prst="rightArrow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99" name="화살표: 오른쪽 81">
            <a:extLst>
              <a:ext uri="{FF2B5EF4-FFF2-40B4-BE49-F238E27FC236}">
                <a16:creationId xmlns:a16="http://schemas.microsoft.com/office/drawing/2014/main" id="{00000000-0008-0000-2B00-000023000000}"/>
              </a:ext>
            </a:extLst>
          </xdr:cNvPr>
          <xdr:cNvSpPr/>
        </xdr:nvSpPr>
        <xdr:spPr>
          <a:xfrm rot="10800000">
            <a:off x="9098552" y="2957756"/>
            <a:ext cx="367748" cy="215444"/>
          </a:xfrm>
          <a:prstGeom prst="rightArrow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2B00-000024000000}"/>
              </a:ext>
            </a:extLst>
          </xdr:cNvPr>
          <xdr:cNvSpPr/>
        </xdr:nvSpPr>
        <xdr:spPr>
          <a:xfrm>
            <a:off x="9456361" y="3010144"/>
            <a:ext cx="324000" cy="124278"/>
          </a:xfrm>
          <a:prstGeom prst="rect">
            <a:avLst/>
          </a:prstGeom>
          <a:solidFill>
            <a:srgbClr val="FFC000">
              <a:alpha val="2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01" name="직사각형 100">
            <a:extLst>
              <a:ext uri="{FF2B5EF4-FFF2-40B4-BE49-F238E27FC236}">
                <a16:creationId xmlns:a16="http://schemas.microsoft.com/office/drawing/2014/main" id="{00000000-0008-0000-2B00-000025000000}"/>
              </a:ext>
            </a:extLst>
          </xdr:cNvPr>
          <xdr:cNvSpPr/>
        </xdr:nvSpPr>
        <xdr:spPr>
          <a:xfrm>
            <a:off x="9814932" y="2913893"/>
            <a:ext cx="714247" cy="315424"/>
          </a:xfrm>
          <a:prstGeom prst="rect">
            <a:avLst/>
          </a:prstGeom>
          <a:solidFill>
            <a:srgbClr val="FFC000">
              <a:alpha val="9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oneCellAnchor>
    <xdr:from>
      <xdr:col>2</xdr:col>
      <xdr:colOff>0</xdr:colOff>
      <xdr:row>6</xdr:row>
      <xdr:rowOff>38100</xdr:rowOff>
    </xdr:from>
    <xdr:ext cx="1622425" cy="2258974"/>
    <xdr:pic>
      <xdr:nvPicPr>
        <xdr:cNvPr id="102" name="그림 101">
          <a:extLst>
            <a:ext uri="{FF2B5EF4-FFF2-40B4-BE49-F238E27FC236}">
              <a16:creationId xmlns:a16="http://schemas.microsoft.com/office/drawing/2014/main" id="{00000000-0008-0000-2B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4372" r="18887"/>
        <a:stretch/>
      </xdr:blipFill>
      <xdr:spPr>
        <a:xfrm>
          <a:off x="1962150" y="12392025"/>
          <a:ext cx="1622425" cy="225897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1</xdr:row>
      <xdr:rowOff>228600</xdr:rowOff>
    </xdr:from>
    <xdr:ext cx="1896659" cy="1672522"/>
    <xdr:pic>
      <xdr:nvPicPr>
        <xdr:cNvPr id="63" name="그림 62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0" y="514350"/>
          <a:ext cx="1896659" cy="1672522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2</xdr:row>
      <xdr:rowOff>228600</xdr:rowOff>
    </xdr:from>
    <xdr:ext cx="1896659" cy="1775065"/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2B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0" y="2800350"/>
          <a:ext cx="1896659" cy="177506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4</xdr:row>
      <xdr:rowOff>228600</xdr:rowOff>
    </xdr:from>
    <xdr:ext cx="1896659" cy="1672522"/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2B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0" y="7372350"/>
          <a:ext cx="1896659" cy="1672522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5</xdr:row>
      <xdr:rowOff>228600</xdr:rowOff>
    </xdr:from>
    <xdr:ext cx="1896659" cy="1775065"/>
    <xdr:pic>
      <xdr:nvPicPr>
        <xdr:cNvPr id="66" name="그림 65">
          <a:extLst>
            <a:ext uri="{FF2B5EF4-FFF2-40B4-BE49-F238E27FC236}">
              <a16:creationId xmlns:a16="http://schemas.microsoft.com/office/drawing/2014/main" id="{00000000-0008-0000-2B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0" y="9658350"/>
          <a:ext cx="1896659" cy="177506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6</xdr:row>
      <xdr:rowOff>228600</xdr:rowOff>
    </xdr:from>
    <xdr:ext cx="1868084" cy="1775065"/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2B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0" y="11944350"/>
          <a:ext cx="1868084" cy="177506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3</xdr:row>
      <xdr:rowOff>228600</xdr:rowOff>
    </xdr:from>
    <xdr:ext cx="1863322" cy="1775065"/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2B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0" y="5086350"/>
          <a:ext cx="1863322" cy="177506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7</xdr:row>
      <xdr:rowOff>228600</xdr:rowOff>
    </xdr:from>
    <xdr:ext cx="1877609" cy="1672522"/>
    <xdr:pic>
      <xdr:nvPicPr>
        <xdr:cNvPr id="69" name="그림 68">
          <a:extLst>
            <a:ext uri="{FF2B5EF4-FFF2-40B4-BE49-F238E27FC236}">
              <a16:creationId xmlns:a16="http://schemas.microsoft.com/office/drawing/2014/main" id="{00000000-0008-0000-2B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0" y="14230350"/>
          <a:ext cx="1877609" cy="1672522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10</xdr:row>
      <xdr:rowOff>228600</xdr:rowOff>
    </xdr:from>
    <xdr:ext cx="1877609" cy="1672522"/>
    <xdr:pic>
      <xdr:nvPicPr>
        <xdr:cNvPr id="70" name="그림 69">
          <a:extLst>
            <a:ext uri="{FF2B5EF4-FFF2-40B4-BE49-F238E27FC236}">
              <a16:creationId xmlns:a16="http://schemas.microsoft.com/office/drawing/2014/main" id="{00000000-0008-0000-2B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0" y="21088350"/>
          <a:ext cx="1877609" cy="1672522"/>
        </a:xfrm>
        <a:prstGeom prst="rect">
          <a:avLst/>
        </a:prstGeom>
      </xdr:spPr>
    </xdr:pic>
    <xdr:clientData/>
  </xdr:oneCellAnchor>
  <xdr:oneCellAnchor>
    <xdr:from>
      <xdr:col>3</xdr:col>
      <xdr:colOff>57151</xdr:colOff>
      <xdr:row>8</xdr:row>
      <xdr:rowOff>228600</xdr:rowOff>
    </xdr:from>
    <xdr:ext cx="1845785" cy="1775065"/>
    <xdr:pic>
      <xdr:nvPicPr>
        <xdr:cNvPr id="71" name="그림 70">
          <a:extLst>
            <a:ext uri="{FF2B5EF4-FFF2-40B4-BE49-F238E27FC236}">
              <a16:creationId xmlns:a16="http://schemas.microsoft.com/office/drawing/2014/main" id="{00000000-0008-0000-2B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1" y="16516350"/>
          <a:ext cx="1845785" cy="177506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11</xdr:row>
      <xdr:rowOff>228600</xdr:rowOff>
    </xdr:from>
    <xdr:ext cx="1845785" cy="1775065"/>
    <xdr:pic>
      <xdr:nvPicPr>
        <xdr:cNvPr id="72" name="그림 71">
          <a:extLst>
            <a:ext uri="{FF2B5EF4-FFF2-40B4-BE49-F238E27FC236}">
              <a16:creationId xmlns:a16="http://schemas.microsoft.com/office/drawing/2014/main" id="{00000000-0008-0000-2B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53250" y="23374350"/>
          <a:ext cx="1845785" cy="177506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12</xdr:row>
      <xdr:rowOff>228600</xdr:rowOff>
    </xdr:from>
    <xdr:ext cx="1877609" cy="1775065"/>
    <xdr:pic>
      <xdr:nvPicPr>
        <xdr:cNvPr id="73" name="그림 72">
          <a:extLst>
            <a:ext uri="{FF2B5EF4-FFF2-40B4-BE49-F238E27FC236}">
              <a16:creationId xmlns:a16="http://schemas.microsoft.com/office/drawing/2014/main" id="{00000000-0008-0000-2B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34200" y="25660350"/>
          <a:ext cx="1877609" cy="177506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9</xdr:row>
      <xdr:rowOff>228600</xdr:rowOff>
    </xdr:from>
    <xdr:ext cx="1877609" cy="1775065"/>
    <xdr:pic>
      <xdr:nvPicPr>
        <xdr:cNvPr id="74" name="그림 73">
          <a:extLst>
            <a:ext uri="{FF2B5EF4-FFF2-40B4-BE49-F238E27FC236}">
              <a16:creationId xmlns:a16="http://schemas.microsoft.com/office/drawing/2014/main" id="{00000000-0008-0000-2B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53250" y="18802350"/>
          <a:ext cx="1877609" cy="177506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13</xdr:row>
      <xdr:rowOff>228600</xdr:rowOff>
    </xdr:from>
    <xdr:ext cx="1877609" cy="1672522"/>
    <xdr:pic>
      <xdr:nvPicPr>
        <xdr:cNvPr id="75" name="그림 74">
          <a:extLst>
            <a:ext uri="{FF2B5EF4-FFF2-40B4-BE49-F238E27FC236}">
              <a16:creationId xmlns:a16="http://schemas.microsoft.com/office/drawing/2014/main" id="{00000000-0008-0000-2B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953250" y="27946350"/>
          <a:ext cx="1877609" cy="1672522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16</xdr:row>
      <xdr:rowOff>228600</xdr:rowOff>
    </xdr:from>
    <xdr:ext cx="1877609" cy="1672522"/>
    <xdr:pic>
      <xdr:nvPicPr>
        <xdr:cNvPr id="76" name="그림 75">
          <a:extLst>
            <a:ext uri="{FF2B5EF4-FFF2-40B4-BE49-F238E27FC236}">
              <a16:creationId xmlns:a16="http://schemas.microsoft.com/office/drawing/2014/main" id="{00000000-0008-0000-2B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953250" y="34804350"/>
          <a:ext cx="1877609" cy="1672522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14</xdr:row>
      <xdr:rowOff>228600</xdr:rowOff>
    </xdr:from>
    <xdr:ext cx="1845785" cy="1775065"/>
    <xdr:pic>
      <xdr:nvPicPr>
        <xdr:cNvPr id="77" name="그림 76">
          <a:extLst>
            <a:ext uri="{FF2B5EF4-FFF2-40B4-BE49-F238E27FC236}">
              <a16:creationId xmlns:a16="http://schemas.microsoft.com/office/drawing/2014/main" id="{00000000-0008-0000-2B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953250" y="30232350"/>
          <a:ext cx="1845785" cy="177506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17</xdr:row>
      <xdr:rowOff>228600</xdr:rowOff>
    </xdr:from>
    <xdr:ext cx="1845785" cy="1775065"/>
    <xdr:pic>
      <xdr:nvPicPr>
        <xdr:cNvPr id="78" name="그림 77">
          <a:extLst>
            <a:ext uri="{FF2B5EF4-FFF2-40B4-BE49-F238E27FC236}">
              <a16:creationId xmlns:a16="http://schemas.microsoft.com/office/drawing/2014/main" id="{00000000-0008-0000-2B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953250" y="37090350"/>
          <a:ext cx="1845785" cy="177506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18</xdr:row>
      <xdr:rowOff>228600</xdr:rowOff>
    </xdr:from>
    <xdr:ext cx="1877609" cy="1775065"/>
    <xdr:pic>
      <xdr:nvPicPr>
        <xdr:cNvPr id="79" name="그림 78">
          <a:extLst>
            <a:ext uri="{FF2B5EF4-FFF2-40B4-BE49-F238E27FC236}">
              <a16:creationId xmlns:a16="http://schemas.microsoft.com/office/drawing/2014/main" id="{00000000-0008-0000-2B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53250" y="39376350"/>
          <a:ext cx="1877609" cy="177506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15</xdr:row>
      <xdr:rowOff>228600</xdr:rowOff>
    </xdr:from>
    <xdr:ext cx="1877609" cy="1775065"/>
    <xdr:pic>
      <xdr:nvPicPr>
        <xdr:cNvPr id="80" name="그림 79">
          <a:extLst>
            <a:ext uri="{FF2B5EF4-FFF2-40B4-BE49-F238E27FC236}">
              <a16:creationId xmlns:a16="http://schemas.microsoft.com/office/drawing/2014/main" id="{00000000-0008-0000-2B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53250" y="32518350"/>
          <a:ext cx="1877609" cy="17750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R14" sqref="R14"/>
    </sheetView>
  </sheetViews>
  <sheetFormatPr defaultRowHeight="16.5" x14ac:dyDescent="0.3"/>
  <cols>
    <col min="2" max="2" width="9" style="1"/>
    <col min="6" max="6" width="9.625" bestFit="1" customWidth="1"/>
  </cols>
  <sheetData>
    <row r="1" spans="1:12" ht="22.5" x14ac:dyDescent="0.3">
      <c r="A1" s="4" t="s">
        <v>6</v>
      </c>
      <c r="B1" s="5" t="s">
        <v>4</v>
      </c>
      <c r="C1" s="4" t="s">
        <v>7</v>
      </c>
      <c r="D1" s="5" t="s">
        <v>8</v>
      </c>
      <c r="E1" s="5" t="s">
        <v>9</v>
      </c>
      <c r="F1" s="5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</row>
    <row r="2" spans="1:12" x14ac:dyDescent="0.3">
      <c r="A2" s="4" t="s">
        <v>6</v>
      </c>
      <c r="B2" s="5" t="s">
        <v>4</v>
      </c>
      <c r="C2" s="4" t="s">
        <v>7</v>
      </c>
      <c r="D2" s="5" t="s">
        <v>8</v>
      </c>
      <c r="E2" s="5" t="s">
        <v>9</v>
      </c>
      <c r="F2" s="5" t="s">
        <v>10</v>
      </c>
      <c r="G2" s="3" t="s">
        <v>205</v>
      </c>
      <c r="H2" s="3" t="s">
        <v>206</v>
      </c>
      <c r="I2" s="3" t="s">
        <v>207</v>
      </c>
      <c r="J2" s="3" t="s">
        <v>208</v>
      </c>
      <c r="K2" s="3" t="s">
        <v>209</v>
      </c>
      <c r="L2" s="3" t="s">
        <v>210</v>
      </c>
    </row>
    <row r="3" spans="1:12" s="1" customFormat="1" x14ac:dyDescent="0.3">
      <c r="A3" s="4" t="s">
        <v>6</v>
      </c>
      <c r="B3" s="5" t="s">
        <v>4</v>
      </c>
      <c r="C3" s="4" t="s">
        <v>7</v>
      </c>
      <c r="D3" s="5" t="s">
        <v>8</v>
      </c>
      <c r="E3" s="5" t="s">
        <v>9</v>
      </c>
      <c r="F3" s="5" t="s">
        <v>10</v>
      </c>
      <c r="G3" s="3" t="s">
        <v>211</v>
      </c>
      <c r="H3" s="3" t="s">
        <v>212</v>
      </c>
      <c r="I3" s="3" t="s">
        <v>211</v>
      </c>
      <c r="J3" s="3" t="s">
        <v>213</v>
      </c>
      <c r="K3" s="3" t="s">
        <v>214</v>
      </c>
      <c r="L3" s="3" t="s">
        <v>215</v>
      </c>
    </row>
    <row r="4" spans="1:12" x14ac:dyDescent="0.3">
      <c r="A4" s="6" t="s">
        <v>17</v>
      </c>
      <c r="B4" s="12" t="s">
        <v>5</v>
      </c>
      <c r="C4" s="8" t="s">
        <v>26</v>
      </c>
      <c r="D4" s="8" t="s">
        <v>1</v>
      </c>
      <c r="E4" s="10" t="s">
        <v>27</v>
      </c>
      <c r="F4" s="10" t="s">
        <v>28</v>
      </c>
      <c r="G4" s="10">
        <v>2</v>
      </c>
      <c r="H4" s="10">
        <v>2</v>
      </c>
      <c r="I4" s="10">
        <v>1.7000000000000002</v>
      </c>
      <c r="J4" s="10">
        <v>0.16</v>
      </c>
      <c r="K4" s="10">
        <v>0.1</v>
      </c>
      <c r="L4" s="10">
        <v>0.15</v>
      </c>
    </row>
    <row r="5" spans="1:12" x14ac:dyDescent="0.3">
      <c r="A5" s="7" t="s">
        <v>18</v>
      </c>
      <c r="B5" s="12" t="s">
        <v>5</v>
      </c>
      <c r="C5" s="9" t="s">
        <v>29</v>
      </c>
      <c r="D5" s="9" t="s">
        <v>1</v>
      </c>
      <c r="E5" s="11" t="s">
        <v>27</v>
      </c>
      <c r="F5" s="11" t="s">
        <v>30</v>
      </c>
      <c r="G5" s="11">
        <v>9.9</v>
      </c>
      <c r="H5" s="11">
        <v>8.6</v>
      </c>
      <c r="I5" s="11">
        <v>9.6999999999999993</v>
      </c>
      <c r="J5" s="11">
        <v>0.14000000000000001</v>
      </c>
      <c r="K5" s="11">
        <v>0.1</v>
      </c>
      <c r="L5" s="11">
        <v>0.14000000000000001</v>
      </c>
    </row>
    <row r="6" spans="1:12" x14ac:dyDescent="0.3">
      <c r="A6" s="7" t="s">
        <v>19</v>
      </c>
      <c r="B6" s="12" t="s">
        <v>5</v>
      </c>
      <c r="C6" s="9" t="s">
        <v>31</v>
      </c>
      <c r="D6" s="9" t="s">
        <v>1</v>
      </c>
      <c r="E6" s="11" t="s">
        <v>27</v>
      </c>
      <c r="F6" s="11" t="s">
        <v>32</v>
      </c>
      <c r="G6" s="11">
        <v>6.3</v>
      </c>
      <c r="H6" s="11">
        <v>6.3999999999999995</v>
      </c>
      <c r="I6" s="11">
        <v>6.1</v>
      </c>
      <c r="J6" s="11">
        <v>0.14000000000000001</v>
      </c>
      <c r="K6" s="11">
        <v>0.1</v>
      </c>
      <c r="L6" s="11">
        <v>0.14000000000000001</v>
      </c>
    </row>
    <row r="7" spans="1:12" x14ac:dyDescent="0.3">
      <c r="A7" s="7" t="s">
        <v>20</v>
      </c>
      <c r="B7" s="12" t="s">
        <v>5</v>
      </c>
      <c r="C7" s="9" t="s">
        <v>33</v>
      </c>
      <c r="D7" s="9" t="s">
        <v>1</v>
      </c>
      <c r="E7" s="11" t="s">
        <v>34</v>
      </c>
      <c r="F7" s="11" t="s">
        <v>28</v>
      </c>
      <c r="G7" s="11">
        <v>1.4000000000000001</v>
      </c>
      <c r="H7" s="11">
        <v>1.1000000000000001</v>
      </c>
      <c r="I7" s="11">
        <v>1.3</v>
      </c>
      <c r="J7" s="11">
        <v>0.17</v>
      </c>
      <c r="K7" s="11">
        <v>0.11</v>
      </c>
      <c r="L7" s="11">
        <v>0.17</v>
      </c>
    </row>
    <row r="8" spans="1:12" x14ac:dyDescent="0.3">
      <c r="A8" s="7" t="s">
        <v>21</v>
      </c>
      <c r="B8" s="12" t="s">
        <v>5</v>
      </c>
      <c r="C8" s="9" t="s">
        <v>35</v>
      </c>
      <c r="D8" s="9" t="s">
        <v>1</v>
      </c>
      <c r="E8" s="11" t="s">
        <v>34</v>
      </c>
      <c r="F8" s="11" t="s">
        <v>30</v>
      </c>
      <c r="G8" s="11">
        <v>7.6999999999999993</v>
      </c>
      <c r="H8" s="11">
        <v>5.8</v>
      </c>
      <c r="I8" s="11">
        <v>7.3</v>
      </c>
      <c r="J8" s="11">
        <v>0.15</v>
      </c>
      <c r="K8" s="11">
        <v>0.08</v>
      </c>
      <c r="L8" s="11">
        <v>0.15</v>
      </c>
    </row>
    <row r="9" spans="1:12" x14ac:dyDescent="0.3">
      <c r="A9" s="7" t="s">
        <v>22</v>
      </c>
      <c r="B9" s="12" t="s">
        <v>5</v>
      </c>
      <c r="C9" s="9" t="s">
        <v>36</v>
      </c>
      <c r="D9" s="9" t="s">
        <v>1</v>
      </c>
      <c r="E9" s="11" t="s">
        <v>34</v>
      </c>
      <c r="F9" s="11" t="s">
        <v>32</v>
      </c>
      <c r="G9" s="11">
        <v>4.0999999999999996</v>
      </c>
      <c r="H9" s="11">
        <v>5.0999999999999996</v>
      </c>
      <c r="I9" s="11">
        <v>6.6</v>
      </c>
      <c r="J9" s="11">
        <v>0.15</v>
      </c>
      <c r="K9" s="11">
        <v>0.08</v>
      </c>
      <c r="L9" s="11">
        <v>0.15</v>
      </c>
    </row>
    <row r="10" spans="1:12" x14ac:dyDescent="0.3">
      <c r="A10" s="7" t="s">
        <v>23</v>
      </c>
      <c r="B10" s="12" t="s">
        <v>5</v>
      </c>
      <c r="C10" s="9" t="s">
        <v>37</v>
      </c>
      <c r="D10" s="9" t="s">
        <v>1</v>
      </c>
      <c r="E10" s="11" t="s">
        <v>38</v>
      </c>
      <c r="F10" s="11" t="s">
        <v>28</v>
      </c>
      <c r="G10" s="11">
        <v>1.6</v>
      </c>
      <c r="H10" s="11">
        <v>1.6</v>
      </c>
      <c r="I10" s="11">
        <v>1.6</v>
      </c>
      <c r="J10" s="11">
        <v>0.13</v>
      </c>
      <c r="K10" s="11">
        <v>0.08</v>
      </c>
      <c r="L10" s="11">
        <v>0.16</v>
      </c>
    </row>
    <row r="11" spans="1:12" x14ac:dyDescent="0.3">
      <c r="A11" s="7" t="s">
        <v>24</v>
      </c>
      <c r="B11" s="12" t="s">
        <v>5</v>
      </c>
      <c r="C11" s="9" t="s">
        <v>39</v>
      </c>
      <c r="D11" s="9" t="s">
        <v>1</v>
      </c>
      <c r="E11" s="11" t="s">
        <v>38</v>
      </c>
      <c r="F11" s="11" t="s">
        <v>30</v>
      </c>
      <c r="G11" s="11">
        <v>4.5</v>
      </c>
      <c r="H11" s="11">
        <v>4.5</v>
      </c>
      <c r="I11" s="11">
        <v>4.5</v>
      </c>
      <c r="J11" s="11">
        <v>0.11</v>
      </c>
      <c r="K11" s="11">
        <v>7.0000000000000007E-2</v>
      </c>
      <c r="L11" s="11">
        <v>0.14000000000000001</v>
      </c>
    </row>
    <row r="12" spans="1:12" x14ac:dyDescent="0.3">
      <c r="A12" s="7" t="s">
        <v>25</v>
      </c>
      <c r="B12" s="12" t="s">
        <v>5</v>
      </c>
      <c r="C12" s="9" t="s">
        <v>40</v>
      </c>
      <c r="D12" s="9" t="s">
        <v>1</v>
      </c>
      <c r="E12" s="11" t="s">
        <v>38</v>
      </c>
      <c r="F12" s="11" t="s">
        <v>32</v>
      </c>
      <c r="G12" s="11">
        <v>2.4</v>
      </c>
      <c r="H12" s="11">
        <v>2.4</v>
      </c>
      <c r="I12" s="11">
        <v>2.4</v>
      </c>
      <c r="J12" s="11">
        <v>0.11</v>
      </c>
      <c r="K12" s="11">
        <v>7.0000000000000007E-2</v>
      </c>
      <c r="L12" s="11">
        <v>0.14000000000000001</v>
      </c>
    </row>
    <row r="13" spans="1:12" x14ac:dyDescent="0.3">
      <c r="A13" s="7" t="s">
        <v>41</v>
      </c>
      <c r="B13" s="12" t="s">
        <v>54</v>
      </c>
      <c r="C13" s="9" t="s">
        <v>55</v>
      </c>
      <c r="D13" s="9" t="s">
        <v>48</v>
      </c>
      <c r="E13" s="11" t="s">
        <v>38</v>
      </c>
      <c r="F13" s="11" t="s">
        <v>28</v>
      </c>
      <c r="G13" s="11">
        <v>1.08</v>
      </c>
      <c r="H13" s="11">
        <v>1.1299999999999999</v>
      </c>
      <c r="I13" s="11">
        <v>0.92</v>
      </c>
      <c r="J13" s="11">
        <v>0.12</v>
      </c>
      <c r="K13" s="11">
        <v>7.8E-2</v>
      </c>
      <c r="L13" s="11">
        <v>0.155</v>
      </c>
    </row>
    <row r="14" spans="1:12" x14ac:dyDescent="0.3">
      <c r="A14" s="7" t="s">
        <v>42</v>
      </c>
      <c r="B14" s="12" t="s">
        <v>56</v>
      </c>
      <c r="C14" s="9" t="s">
        <v>57</v>
      </c>
      <c r="D14" s="9" t="s">
        <v>49</v>
      </c>
      <c r="E14" s="11" t="s">
        <v>38</v>
      </c>
      <c r="F14" s="11" t="s">
        <v>28</v>
      </c>
      <c r="G14" s="11">
        <v>1.35</v>
      </c>
      <c r="H14" s="11">
        <v>1.4</v>
      </c>
      <c r="I14" s="11">
        <v>1.28</v>
      </c>
      <c r="J14" s="11">
        <v>0.13</v>
      </c>
      <c r="K14" s="11">
        <v>6.5000000000000002E-2</v>
      </c>
      <c r="L14" s="11">
        <v>0.155</v>
      </c>
    </row>
    <row r="15" spans="1:12" x14ac:dyDescent="0.3">
      <c r="A15" s="7" t="s">
        <v>43</v>
      </c>
      <c r="B15" s="12" t="s">
        <v>58</v>
      </c>
      <c r="C15" s="9" t="s">
        <v>59</v>
      </c>
      <c r="D15" s="9" t="s">
        <v>50</v>
      </c>
      <c r="E15" s="11" t="s">
        <v>27</v>
      </c>
      <c r="F15" s="11" t="s">
        <v>28</v>
      </c>
      <c r="G15" s="11">
        <v>1.4</v>
      </c>
      <c r="H15" s="11">
        <v>1.83</v>
      </c>
      <c r="I15" s="11">
        <v>1.36</v>
      </c>
      <c r="J15" s="11">
        <v>0.14000000000000001</v>
      </c>
      <c r="K15" s="11">
        <v>6.5000000000000002E-2</v>
      </c>
      <c r="L15" s="11">
        <v>0.13</v>
      </c>
    </row>
    <row r="16" spans="1:12" x14ac:dyDescent="0.3">
      <c r="A16" s="7" t="s">
        <v>44</v>
      </c>
      <c r="B16" s="12" t="s">
        <v>60</v>
      </c>
      <c r="C16" s="9" t="s">
        <v>51</v>
      </c>
      <c r="D16" s="9" t="s">
        <v>50</v>
      </c>
      <c r="E16" s="11" t="s">
        <v>27</v>
      </c>
      <c r="F16" s="11" t="s">
        <v>28</v>
      </c>
      <c r="G16" s="11">
        <f>(1*1.1+2*0.782+1*0.976)/4</f>
        <v>0.91</v>
      </c>
      <c r="H16" s="11">
        <f>(1*1.14+2*0.807+1*0.842)/4</f>
        <v>0.89900000000000002</v>
      </c>
      <c r="I16" s="11">
        <v>1.42</v>
      </c>
      <c r="J16" s="11">
        <v>0.17599999999999999</v>
      </c>
      <c r="K16" s="11">
        <v>0.106</v>
      </c>
      <c r="L16" s="11">
        <v>0.13200000000000001</v>
      </c>
    </row>
    <row r="17" spans="1:12" x14ac:dyDescent="0.3">
      <c r="A17" s="7" t="s">
        <v>45</v>
      </c>
      <c r="B17" s="12" t="s">
        <v>58</v>
      </c>
      <c r="C17" s="9" t="s">
        <v>61</v>
      </c>
      <c r="D17" s="9" t="s">
        <v>52</v>
      </c>
      <c r="E17" s="11" t="s">
        <v>38</v>
      </c>
      <c r="F17" s="11" t="s">
        <v>28</v>
      </c>
      <c r="G17" s="11">
        <v>0.85499999999999998</v>
      </c>
      <c r="H17" s="11">
        <v>0.78600000000000003</v>
      </c>
      <c r="I17" s="11">
        <v>0.95699999999999996</v>
      </c>
      <c r="J17" s="11">
        <v>0.125</v>
      </c>
      <c r="K17" s="11">
        <v>0.16400000000000001</v>
      </c>
      <c r="L17" s="11">
        <v>7.0000000000000007E-2</v>
      </c>
    </row>
    <row r="18" spans="1:12" x14ac:dyDescent="0.3">
      <c r="A18" s="7" t="s">
        <v>46</v>
      </c>
      <c r="B18" s="12" t="s">
        <v>54</v>
      </c>
      <c r="C18" s="9" t="s">
        <v>62</v>
      </c>
      <c r="D18" s="9" t="s">
        <v>53</v>
      </c>
      <c r="E18" s="11" t="s">
        <v>27</v>
      </c>
      <c r="F18" s="11" t="s">
        <v>28</v>
      </c>
      <c r="G18" s="11">
        <v>0.90450000000000008</v>
      </c>
      <c r="H18" s="11">
        <v>0.749</v>
      </c>
      <c r="I18" s="11">
        <v>0.95799999999999996</v>
      </c>
      <c r="J18" s="11">
        <v>0.15587500000000001</v>
      </c>
      <c r="K18" s="11">
        <v>0.153</v>
      </c>
      <c r="L18" s="11">
        <v>8.7999999999999995E-2</v>
      </c>
    </row>
    <row r="19" spans="1:12" x14ac:dyDescent="0.3">
      <c r="A19" s="7" t="s">
        <v>47</v>
      </c>
      <c r="B19" s="12" t="s">
        <v>63</v>
      </c>
      <c r="C19" s="9" t="s">
        <v>64</v>
      </c>
      <c r="D19" s="9" t="s">
        <v>65</v>
      </c>
      <c r="E19" s="11" t="s">
        <v>27</v>
      </c>
      <c r="F19" s="11" t="s">
        <v>28</v>
      </c>
      <c r="G19" s="11">
        <v>0.86699999999999999</v>
      </c>
      <c r="H19" s="11">
        <v>0.8075</v>
      </c>
      <c r="I19" s="11">
        <v>1.1599999999999999</v>
      </c>
      <c r="J19" s="11">
        <v>0.13200000000000001</v>
      </c>
      <c r="K19" s="11">
        <v>0.11650000000000001</v>
      </c>
      <c r="L19" s="11">
        <v>6.8000000000000005E-2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L10" sqref="L10"/>
    </sheetView>
  </sheetViews>
  <sheetFormatPr defaultRowHeight="16.5" x14ac:dyDescent="0.3"/>
  <cols>
    <col min="2" max="2" width="9" style="1"/>
  </cols>
  <sheetData>
    <row r="1" spans="1:10" ht="22.5" x14ac:dyDescent="0.3">
      <c r="A1" s="22" t="s">
        <v>68</v>
      </c>
      <c r="B1" s="14" t="s">
        <v>67</v>
      </c>
      <c r="C1" s="14" t="s">
        <v>69</v>
      </c>
      <c r="D1" s="14" t="s">
        <v>70</v>
      </c>
      <c r="E1" s="14" t="s">
        <v>71</v>
      </c>
      <c r="F1" s="22" t="s">
        <v>72</v>
      </c>
      <c r="G1" s="20" t="s">
        <v>73</v>
      </c>
      <c r="H1" s="20" t="s">
        <v>74</v>
      </c>
      <c r="I1" s="20" t="s">
        <v>75</v>
      </c>
      <c r="J1" s="20" t="s">
        <v>76</v>
      </c>
    </row>
    <row r="2" spans="1:10" x14ac:dyDescent="0.3">
      <c r="A2" s="22" t="s">
        <v>68</v>
      </c>
      <c r="B2" s="14" t="s">
        <v>4</v>
      </c>
      <c r="C2" s="14" t="s">
        <v>69</v>
      </c>
      <c r="D2" s="14" t="s">
        <v>70</v>
      </c>
      <c r="E2" s="14" t="s">
        <v>71</v>
      </c>
      <c r="F2" s="22" t="s">
        <v>72</v>
      </c>
      <c r="G2" s="21" t="s">
        <v>216</v>
      </c>
      <c r="H2" s="21" t="s">
        <v>217</v>
      </c>
      <c r="I2" s="21" t="s">
        <v>216</v>
      </c>
      <c r="J2" s="21" t="s">
        <v>218</v>
      </c>
    </row>
    <row r="3" spans="1:10" s="1" customFormat="1" x14ac:dyDescent="0.3">
      <c r="A3" s="22" t="s">
        <v>6</v>
      </c>
      <c r="B3" s="14" t="s">
        <v>4</v>
      </c>
      <c r="C3" s="14" t="s">
        <v>7</v>
      </c>
      <c r="D3" s="14" t="s">
        <v>70</v>
      </c>
      <c r="E3" s="14" t="s">
        <v>71</v>
      </c>
      <c r="F3" s="22" t="s">
        <v>72</v>
      </c>
      <c r="G3" s="36" t="s">
        <v>219</v>
      </c>
      <c r="H3" s="36" t="s">
        <v>219</v>
      </c>
      <c r="I3" s="36" t="s">
        <v>220</v>
      </c>
      <c r="J3" s="36" t="s">
        <v>219</v>
      </c>
    </row>
    <row r="4" spans="1:10" x14ac:dyDescent="0.3">
      <c r="A4" s="8" t="s">
        <v>77</v>
      </c>
      <c r="B4" s="8" t="s">
        <v>121</v>
      </c>
      <c r="C4" s="8" t="s">
        <v>89</v>
      </c>
      <c r="D4" s="8" t="s">
        <v>90</v>
      </c>
      <c r="E4" s="8" t="s">
        <v>91</v>
      </c>
      <c r="F4" s="23" t="s">
        <v>92</v>
      </c>
      <c r="G4" s="24">
        <v>0.06</v>
      </c>
      <c r="H4" s="24">
        <v>0.06</v>
      </c>
      <c r="I4" s="24">
        <v>0.08</v>
      </c>
      <c r="J4" s="24">
        <v>0.08</v>
      </c>
    </row>
    <row r="5" spans="1:10" x14ac:dyDescent="0.3">
      <c r="A5" s="9" t="s">
        <v>78</v>
      </c>
      <c r="B5" s="8" t="s">
        <v>122</v>
      </c>
      <c r="C5" s="9" t="s">
        <v>93</v>
      </c>
      <c r="D5" s="9" t="s">
        <v>94</v>
      </c>
      <c r="E5" s="9" t="s">
        <v>95</v>
      </c>
      <c r="F5" s="25" t="s">
        <v>96</v>
      </c>
      <c r="G5" s="26">
        <v>0.02</v>
      </c>
      <c r="H5" s="26">
        <v>0.02</v>
      </c>
      <c r="I5" s="26">
        <v>0.05</v>
      </c>
      <c r="J5" s="26">
        <v>0.05</v>
      </c>
    </row>
    <row r="6" spans="1:10" x14ac:dyDescent="0.3">
      <c r="A6" s="9" t="s">
        <v>79</v>
      </c>
      <c r="B6" s="8" t="s">
        <v>123</v>
      </c>
      <c r="C6" s="9" t="s">
        <v>97</v>
      </c>
      <c r="D6" s="9" t="s">
        <v>90</v>
      </c>
      <c r="E6" s="9" t="s">
        <v>98</v>
      </c>
      <c r="F6" s="25" t="s">
        <v>99</v>
      </c>
      <c r="G6" s="26">
        <v>0.08</v>
      </c>
      <c r="H6" s="26">
        <v>0.08</v>
      </c>
      <c r="I6" s="26">
        <v>0.11</v>
      </c>
      <c r="J6" s="26">
        <v>0.11</v>
      </c>
    </row>
    <row r="7" spans="1:10" x14ac:dyDescent="0.3">
      <c r="A7" s="9" t="s">
        <v>80</v>
      </c>
      <c r="B7" s="8" t="s">
        <v>123</v>
      </c>
      <c r="C7" s="9" t="s">
        <v>100</v>
      </c>
      <c r="D7" s="9" t="s">
        <v>101</v>
      </c>
      <c r="E7" s="9" t="s">
        <v>102</v>
      </c>
      <c r="F7" s="25" t="s">
        <v>103</v>
      </c>
      <c r="G7" s="26">
        <v>0.03</v>
      </c>
      <c r="H7" s="26">
        <v>0.03</v>
      </c>
      <c r="I7" s="26">
        <v>0.04</v>
      </c>
      <c r="J7" s="26">
        <v>0.04</v>
      </c>
    </row>
    <row r="8" spans="1:10" x14ac:dyDescent="0.3">
      <c r="A8" s="9" t="s">
        <v>81</v>
      </c>
      <c r="B8" s="8" t="s">
        <v>122</v>
      </c>
      <c r="C8" s="9" t="s">
        <v>100</v>
      </c>
      <c r="D8" s="9" t="s">
        <v>101</v>
      </c>
      <c r="E8" s="9" t="s">
        <v>104</v>
      </c>
      <c r="F8" s="25" t="s">
        <v>105</v>
      </c>
      <c r="G8" s="26">
        <v>0.01</v>
      </c>
      <c r="H8" s="26">
        <v>0.01</v>
      </c>
      <c r="I8" s="26">
        <v>2.5000000000000001E-2</v>
      </c>
      <c r="J8" s="26">
        <v>2.5000000000000001E-2</v>
      </c>
    </row>
    <row r="9" spans="1:10" x14ac:dyDescent="0.3">
      <c r="A9" s="9" t="s">
        <v>82</v>
      </c>
      <c r="B9" s="8" t="s">
        <v>123</v>
      </c>
      <c r="C9" s="9" t="s">
        <v>106</v>
      </c>
      <c r="D9" s="9" t="s">
        <v>101</v>
      </c>
      <c r="E9" s="9" t="s">
        <v>107</v>
      </c>
      <c r="F9" s="25" t="s">
        <v>99</v>
      </c>
      <c r="G9" s="26">
        <v>0.04</v>
      </c>
      <c r="H9" s="26">
        <v>0.04</v>
      </c>
      <c r="I9" s="26">
        <v>5.5E-2</v>
      </c>
      <c r="J9" s="26">
        <v>5.5E-2</v>
      </c>
    </row>
    <row r="10" spans="1:10" x14ac:dyDescent="0.3">
      <c r="A10" s="9" t="s">
        <v>83</v>
      </c>
      <c r="B10" s="8" t="s">
        <v>124</v>
      </c>
      <c r="C10" s="9" t="s">
        <v>100</v>
      </c>
      <c r="D10" s="9" t="s">
        <v>108</v>
      </c>
      <c r="E10" s="9" t="s">
        <v>109</v>
      </c>
      <c r="F10" s="25" t="s">
        <v>103</v>
      </c>
      <c r="G10" s="26">
        <v>0.05</v>
      </c>
      <c r="H10" s="26">
        <v>0.05</v>
      </c>
      <c r="I10" s="26">
        <v>0.06</v>
      </c>
      <c r="J10" s="26">
        <v>0.06</v>
      </c>
    </row>
    <row r="11" spans="1:10" x14ac:dyDescent="0.3">
      <c r="A11" s="9" t="s">
        <v>84</v>
      </c>
      <c r="B11" s="8" t="s">
        <v>125</v>
      </c>
      <c r="C11" s="9" t="s">
        <v>106</v>
      </c>
      <c r="D11" s="9" t="s">
        <v>108</v>
      </c>
      <c r="E11" s="9" t="s">
        <v>110</v>
      </c>
      <c r="F11" s="25" t="s">
        <v>96</v>
      </c>
      <c r="G11" s="26">
        <v>0.01</v>
      </c>
      <c r="H11" s="26">
        <v>0.01</v>
      </c>
      <c r="I11" s="26">
        <v>0.04</v>
      </c>
      <c r="J11" s="26">
        <v>0.04</v>
      </c>
    </row>
    <row r="12" spans="1:10" x14ac:dyDescent="0.3">
      <c r="A12" s="9" t="s">
        <v>85</v>
      </c>
      <c r="B12" s="8" t="s">
        <v>125</v>
      </c>
      <c r="C12" s="9" t="s">
        <v>100</v>
      </c>
      <c r="D12" s="9" t="s">
        <v>111</v>
      </c>
      <c r="E12" s="9" t="s">
        <v>109</v>
      </c>
      <c r="F12" s="25" t="s">
        <v>112</v>
      </c>
      <c r="G12" s="26">
        <v>0.06</v>
      </c>
      <c r="H12" s="26">
        <v>0.06</v>
      </c>
      <c r="I12" s="26">
        <v>0.08</v>
      </c>
      <c r="J12" s="26">
        <v>0.08</v>
      </c>
    </row>
    <row r="13" spans="1:10" x14ac:dyDescent="0.3">
      <c r="A13" s="9" t="s">
        <v>86</v>
      </c>
      <c r="B13" s="8" t="s">
        <v>123</v>
      </c>
      <c r="C13" s="9" t="s">
        <v>113</v>
      </c>
      <c r="D13" s="9" t="s">
        <v>114</v>
      </c>
      <c r="E13" s="9" t="s">
        <v>107</v>
      </c>
      <c r="F13" s="25" t="s">
        <v>115</v>
      </c>
      <c r="G13" s="26">
        <v>2.5000000000000001E-2</v>
      </c>
      <c r="H13" s="26">
        <v>2.5000000000000001E-2</v>
      </c>
      <c r="I13" s="26">
        <v>0.03</v>
      </c>
      <c r="J13" s="26">
        <v>0.03</v>
      </c>
    </row>
    <row r="14" spans="1:10" x14ac:dyDescent="0.3">
      <c r="A14" s="9" t="s">
        <v>87</v>
      </c>
      <c r="B14" s="8" t="s">
        <v>124</v>
      </c>
      <c r="C14" s="9" t="s">
        <v>100</v>
      </c>
      <c r="D14" s="9" t="s">
        <v>111</v>
      </c>
      <c r="E14" s="9" t="s">
        <v>116</v>
      </c>
      <c r="F14" s="25" t="s">
        <v>117</v>
      </c>
      <c r="G14" s="26">
        <v>5.0000000000000001E-3</v>
      </c>
      <c r="H14" s="26">
        <v>5.0000000000000001E-3</v>
      </c>
      <c r="I14" s="26">
        <v>0.02</v>
      </c>
      <c r="J14" s="26">
        <v>0.02</v>
      </c>
    </row>
    <row r="15" spans="1:10" x14ac:dyDescent="0.3">
      <c r="A15" s="9" t="s">
        <v>88</v>
      </c>
      <c r="B15" s="8" t="s">
        <v>121</v>
      </c>
      <c r="C15" s="9" t="s">
        <v>118</v>
      </c>
      <c r="D15" s="9" t="s">
        <v>119</v>
      </c>
      <c r="E15" s="9" t="s">
        <v>120</v>
      </c>
      <c r="F15" s="25" t="s">
        <v>99</v>
      </c>
      <c r="G15" s="26">
        <v>0.03</v>
      </c>
      <c r="H15" s="26">
        <v>0.03</v>
      </c>
      <c r="I15" s="26">
        <v>0.04</v>
      </c>
      <c r="J15" s="26">
        <v>0.04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/>
  </sheetViews>
  <sheetFormatPr defaultRowHeight="16.5" x14ac:dyDescent="0.3"/>
  <cols>
    <col min="2" max="2" width="9" style="1"/>
  </cols>
  <sheetData>
    <row r="1" spans="1:10" ht="22.5" x14ac:dyDescent="0.3">
      <c r="A1" s="13" t="s">
        <v>66</v>
      </c>
      <c r="B1" s="14" t="s">
        <v>67</v>
      </c>
      <c r="C1" s="14" t="s">
        <v>126</v>
      </c>
      <c r="D1" s="14" t="s">
        <v>127</v>
      </c>
      <c r="E1" s="15" t="s">
        <v>128</v>
      </c>
      <c r="F1" s="15" t="s">
        <v>129</v>
      </c>
      <c r="G1" s="14" t="s">
        <v>130</v>
      </c>
      <c r="H1" s="20" t="s">
        <v>131</v>
      </c>
      <c r="I1" s="20" t="s">
        <v>132</v>
      </c>
      <c r="J1" s="20" t="s">
        <v>133</v>
      </c>
    </row>
    <row r="2" spans="1:10" x14ac:dyDescent="0.3">
      <c r="A2" s="13" t="s">
        <v>66</v>
      </c>
      <c r="B2" s="14" t="s">
        <v>4</v>
      </c>
      <c r="C2" s="14" t="s">
        <v>126</v>
      </c>
      <c r="D2" s="14" t="s">
        <v>127</v>
      </c>
      <c r="E2" s="15" t="s">
        <v>128</v>
      </c>
      <c r="F2" s="15" t="s">
        <v>129</v>
      </c>
      <c r="G2" s="14" t="s">
        <v>130</v>
      </c>
      <c r="H2" s="21" t="s">
        <v>216</v>
      </c>
      <c r="I2" s="21" t="s">
        <v>217</v>
      </c>
      <c r="J2" s="21" t="s">
        <v>217</v>
      </c>
    </row>
    <row r="3" spans="1:10" s="1" customFormat="1" x14ac:dyDescent="0.3">
      <c r="A3" s="13" t="s">
        <v>6</v>
      </c>
      <c r="B3" s="14" t="s">
        <v>4</v>
      </c>
      <c r="C3" s="14" t="s">
        <v>126</v>
      </c>
      <c r="D3" s="14" t="s">
        <v>127</v>
      </c>
      <c r="E3" s="15" t="s">
        <v>128</v>
      </c>
      <c r="F3" s="15" t="s">
        <v>129</v>
      </c>
      <c r="G3" s="14" t="s">
        <v>130</v>
      </c>
      <c r="H3" s="36" t="s">
        <v>219</v>
      </c>
      <c r="I3" s="36" t="s">
        <v>221</v>
      </c>
      <c r="J3" s="36" t="s">
        <v>219</v>
      </c>
    </row>
    <row r="4" spans="1:10" x14ac:dyDescent="0.3">
      <c r="A4" s="27" t="s">
        <v>134</v>
      </c>
      <c r="B4" s="27" t="s">
        <v>192</v>
      </c>
      <c r="C4" s="27" t="s">
        <v>184</v>
      </c>
      <c r="D4" s="27" t="s">
        <v>0</v>
      </c>
      <c r="E4" s="27" t="s">
        <v>28</v>
      </c>
      <c r="F4" s="27" t="s">
        <v>182</v>
      </c>
      <c r="G4" s="27" t="s">
        <v>183</v>
      </c>
      <c r="H4" s="28">
        <v>0.627</v>
      </c>
      <c r="I4" s="28">
        <v>0.627</v>
      </c>
      <c r="J4" s="28">
        <v>0.627</v>
      </c>
    </row>
    <row r="5" spans="1:10" x14ac:dyDescent="0.3">
      <c r="A5" s="27" t="s">
        <v>135</v>
      </c>
      <c r="B5" s="27" t="s">
        <v>192</v>
      </c>
      <c r="C5" s="27" t="s">
        <v>184</v>
      </c>
      <c r="D5" s="27" t="s">
        <v>0</v>
      </c>
      <c r="E5" s="27" t="s">
        <v>28</v>
      </c>
      <c r="F5" s="27" t="s">
        <v>182</v>
      </c>
      <c r="G5" s="27" t="s">
        <v>185</v>
      </c>
      <c r="H5" s="28">
        <v>0.104</v>
      </c>
      <c r="I5" s="28">
        <v>0.104</v>
      </c>
      <c r="J5" s="28">
        <v>0.104</v>
      </c>
    </row>
    <row r="6" spans="1:10" x14ac:dyDescent="0.3">
      <c r="A6" s="27" t="s">
        <v>136</v>
      </c>
      <c r="B6" s="27" t="s">
        <v>192</v>
      </c>
      <c r="C6" s="27" t="s">
        <v>184</v>
      </c>
      <c r="D6" s="27" t="s">
        <v>0</v>
      </c>
      <c r="E6" s="27" t="s">
        <v>28</v>
      </c>
      <c r="F6" s="27" t="s">
        <v>182</v>
      </c>
      <c r="G6" s="27" t="s">
        <v>186</v>
      </c>
      <c r="H6" s="28">
        <v>8.9999999999999993E-3</v>
      </c>
      <c r="I6" s="28">
        <v>8.9999999999999993E-3</v>
      </c>
      <c r="J6" s="28">
        <v>8.9999999999999993E-3</v>
      </c>
    </row>
    <row r="7" spans="1:10" x14ac:dyDescent="0.3">
      <c r="A7" s="16" t="s">
        <v>137</v>
      </c>
      <c r="B7" s="27" t="s">
        <v>192</v>
      </c>
      <c r="C7" s="16" t="s">
        <v>184</v>
      </c>
      <c r="D7" s="16" t="s">
        <v>0</v>
      </c>
      <c r="E7" s="16" t="s">
        <v>28</v>
      </c>
      <c r="F7" s="16" t="s">
        <v>187</v>
      </c>
      <c r="G7" s="16" t="s">
        <v>183</v>
      </c>
      <c r="H7" s="17">
        <v>4.4999999999999998E-2</v>
      </c>
      <c r="I7" s="17">
        <v>4.4999999999999998E-2</v>
      </c>
      <c r="J7" s="17">
        <v>4.4999999999999998E-2</v>
      </c>
    </row>
    <row r="8" spans="1:10" x14ac:dyDescent="0.3">
      <c r="A8" s="16" t="s">
        <v>138</v>
      </c>
      <c r="B8" s="27" t="s">
        <v>192</v>
      </c>
      <c r="C8" s="16" t="s">
        <v>184</v>
      </c>
      <c r="D8" s="16" t="s">
        <v>0</v>
      </c>
      <c r="E8" s="16" t="s">
        <v>28</v>
      </c>
      <c r="F8" s="16" t="s">
        <v>187</v>
      </c>
      <c r="G8" s="16" t="s">
        <v>185</v>
      </c>
      <c r="H8" s="17">
        <v>8.0000000000000002E-3</v>
      </c>
      <c r="I8" s="17">
        <v>8.0000000000000002E-3</v>
      </c>
      <c r="J8" s="17">
        <v>8.0000000000000002E-3</v>
      </c>
    </row>
    <row r="9" spans="1:10" x14ac:dyDescent="0.3">
      <c r="A9" s="16" t="s">
        <v>139</v>
      </c>
      <c r="B9" s="27" t="s">
        <v>192</v>
      </c>
      <c r="C9" s="16" t="s">
        <v>184</v>
      </c>
      <c r="D9" s="16" t="s">
        <v>0</v>
      </c>
      <c r="E9" s="16" t="s">
        <v>28</v>
      </c>
      <c r="F9" s="16" t="s">
        <v>187</v>
      </c>
      <c r="G9" s="16" t="s">
        <v>186</v>
      </c>
      <c r="H9" s="17">
        <v>0</v>
      </c>
      <c r="I9" s="17">
        <v>0</v>
      </c>
      <c r="J9" s="17">
        <v>0</v>
      </c>
    </row>
    <row r="10" spans="1:10" x14ac:dyDescent="0.3">
      <c r="A10" s="16" t="s">
        <v>140</v>
      </c>
      <c r="B10" s="27" t="s">
        <v>192</v>
      </c>
      <c r="C10" s="16" t="s">
        <v>189</v>
      </c>
      <c r="D10" s="16" t="s">
        <v>0</v>
      </c>
      <c r="E10" s="16" t="s">
        <v>30</v>
      </c>
      <c r="F10" s="16" t="s">
        <v>182</v>
      </c>
      <c r="G10" s="27" t="s">
        <v>183</v>
      </c>
      <c r="H10" s="28">
        <v>0.61099999999999999</v>
      </c>
      <c r="I10" s="28">
        <v>0.61099999999999999</v>
      </c>
      <c r="J10" s="28">
        <v>0.61099999999999999</v>
      </c>
    </row>
    <row r="11" spans="1:10" x14ac:dyDescent="0.3">
      <c r="A11" s="16" t="s">
        <v>141</v>
      </c>
      <c r="B11" s="27" t="s">
        <v>192</v>
      </c>
      <c r="C11" s="16" t="s">
        <v>189</v>
      </c>
      <c r="D11" s="16" t="s">
        <v>0</v>
      </c>
      <c r="E11" s="16" t="s">
        <v>30</v>
      </c>
      <c r="F11" s="16" t="s">
        <v>182</v>
      </c>
      <c r="G11" s="27" t="s">
        <v>185</v>
      </c>
      <c r="H11" s="28">
        <v>8.1000000000000003E-2</v>
      </c>
      <c r="I11" s="28">
        <v>8.1000000000000003E-2</v>
      </c>
      <c r="J11" s="28">
        <v>8.1000000000000003E-2</v>
      </c>
    </row>
    <row r="12" spans="1:10" x14ac:dyDescent="0.3">
      <c r="A12" s="16" t="s">
        <v>142</v>
      </c>
      <c r="B12" s="27" t="s">
        <v>192</v>
      </c>
      <c r="C12" s="16" t="s">
        <v>184</v>
      </c>
      <c r="D12" s="16" t="s">
        <v>0</v>
      </c>
      <c r="E12" s="16" t="s">
        <v>30</v>
      </c>
      <c r="F12" s="16" t="s">
        <v>182</v>
      </c>
      <c r="G12" s="27" t="s">
        <v>186</v>
      </c>
      <c r="H12" s="28">
        <v>5.1999999999999998E-2</v>
      </c>
      <c r="I12" s="28">
        <v>5.1999999999999998E-2</v>
      </c>
      <c r="J12" s="28">
        <v>5.1999999999999998E-2</v>
      </c>
    </row>
    <row r="13" spans="1:10" x14ac:dyDescent="0.3">
      <c r="A13" s="16" t="s">
        <v>143</v>
      </c>
      <c r="B13" s="27" t="s">
        <v>192</v>
      </c>
      <c r="C13" s="16" t="s">
        <v>184</v>
      </c>
      <c r="D13" s="16" t="s">
        <v>0</v>
      </c>
      <c r="E13" s="16" t="s">
        <v>30</v>
      </c>
      <c r="F13" s="16" t="s">
        <v>187</v>
      </c>
      <c r="G13" s="16" t="s">
        <v>183</v>
      </c>
      <c r="H13" s="17">
        <v>3.6999999999999998E-2</v>
      </c>
      <c r="I13" s="17">
        <v>3.6999999999999998E-2</v>
      </c>
      <c r="J13" s="17">
        <v>3.6999999999999998E-2</v>
      </c>
    </row>
    <row r="14" spans="1:10" x14ac:dyDescent="0.3">
      <c r="A14" s="16" t="s">
        <v>144</v>
      </c>
      <c r="B14" s="27" t="s">
        <v>192</v>
      </c>
      <c r="C14" s="16" t="s">
        <v>190</v>
      </c>
      <c r="D14" s="16" t="s">
        <v>0</v>
      </c>
      <c r="E14" s="16" t="s">
        <v>30</v>
      </c>
      <c r="F14" s="16" t="s">
        <v>187</v>
      </c>
      <c r="G14" s="16" t="s">
        <v>185</v>
      </c>
      <c r="H14" s="17">
        <v>0</v>
      </c>
      <c r="I14" s="17">
        <v>0</v>
      </c>
      <c r="J14" s="17">
        <v>0</v>
      </c>
    </row>
    <row r="15" spans="1:10" x14ac:dyDescent="0.3">
      <c r="A15" s="16" t="s">
        <v>145</v>
      </c>
      <c r="B15" s="27" t="s">
        <v>192</v>
      </c>
      <c r="C15" s="16" t="s">
        <v>189</v>
      </c>
      <c r="D15" s="16" t="s">
        <v>0</v>
      </c>
      <c r="E15" s="16" t="s">
        <v>30</v>
      </c>
      <c r="F15" s="16" t="s">
        <v>187</v>
      </c>
      <c r="G15" s="16" t="s">
        <v>186</v>
      </c>
      <c r="H15" s="17">
        <v>0</v>
      </c>
      <c r="I15" s="17">
        <v>0</v>
      </c>
      <c r="J15" s="17">
        <v>0</v>
      </c>
    </row>
    <row r="16" spans="1:10" x14ac:dyDescent="0.3">
      <c r="A16" s="27" t="s">
        <v>146</v>
      </c>
      <c r="B16" s="27" t="s">
        <v>192</v>
      </c>
      <c r="C16" s="27" t="s">
        <v>184</v>
      </c>
      <c r="D16" s="27" t="s">
        <v>188</v>
      </c>
      <c r="E16" s="27" t="s">
        <v>28</v>
      </c>
      <c r="F16" s="27" t="s">
        <v>182</v>
      </c>
      <c r="G16" s="27" t="s">
        <v>183</v>
      </c>
      <c r="H16" s="28">
        <v>0.01</v>
      </c>
      <c r="I16" s="28">
        <v>0.01</v>
      </c>
      <c r="J16" s="28">
        <v>0.01</v>
      </c>
    </row>
    <row r="17" spans="1:10" x14ac:dyDescent="0.3">
      <c r="A17" s="27" t="s">
        <v>147</v>
      </c>
      <c r="B17" s="27" t="s">
        <v>192</v>
      </c>
      <c r="C17" s="27" t="s">
        <v>184</v>
      </c>
      <c r="D17" s="27" t="s">
        <v>188</v>
      </c>
      <c r="E17" s="27" t="s">
        <v>28</v>
      </c>
      <c r="F17" s="27" t="s">
        <v>182</v>
      </c>
      <c r="G17" s="27" t="s">
        <v>185</v>
      </c>
      <c r="H17" s="28">
        <v>0.13600000000000001</v>
      </c>
      <c r="I17" s="28">
        <v>0.13600000000000001</v>
      </c>
      <c r="J17" s="28">
        <v>0.13600000000000001</v>
      </c>
    </row>
    <row r="18" spans="1:10" x14ac:dyDescent="0.3">
      <c r="A18" s="27" t="s">
        <v>148</v>
      </c>
      <c r="B18" s="27" t="s">
        <v>192</v>
      </c>
      <c r="C18" s="27" t="s">
        <v>189</v>
      </c>
      <c r="D18" s="27" t="s">
        <v>188</v>
      </c>
      <c r="E18" s="27" t="s">
        <v>28</v>
      </c>
      <c r="F18" s="27" t="s">
        <v>182</v>
      </c>
      <c r="G18" s="27" t="s">
        <v>186</v>
      </c>
      <c r="H18" s="28">
        <v>0.89300000000000002</v>
      </c>
      <c r="I18" s="28">
        <v>0.89300000000000002</v>
      </c>
      <c r="J18" s="28">
        <v>0.89300000000000002</v>
      </c>
    </row>
    <row r="19" spans="1:10" x14ac:dyDescent="0.3">
      <c r="A19" s="16" t="s">
        <v>149</v>
      </c>
      <c r="B19" s="27" t="s">
        <v>192</v>
      </c>
      <c r="C19" s="16" t="s">
        <v>184</v>
      </c>
      <c r="D19" s="16" t="s">
        <v>188</v>
      </c>
      <c r="E19" s="16" t="s">
        <v>28</v>
      </c>
      <c r="F19" s="16" t="s">
        <v>187</v>
      </c>
      <c r="G19" s="16" t="s">
        <v>183</v>
      </c>
      <c r="H19" s="17">
        <v>2.1000000000000001E-2</v>
      </c>
      <c r="I19" s="17">
        <v>2.1000000000000001E-2</v>
      </c>
      <c r="J19" s="17">
        <v>2.1000000000000001E-2</v>
      </c>
    </row>
    <row r="20" spans="1:10" x14ac:dyDescent="0.3">
      <c r="A20" s="16" t="s">
        <v>150</v>
      </c>
      <c r="B20" s="27" t="s">
        <v>192</v>
      </c>
      <c r="C20" s="16" t="s">
        <v>184</v>
      </c>
      <c r="D20" s="16" t="s">
        <v>188</v>
      </c>
      <c r="E20" s="16" t="s">
        <v>28</v>
      </c>
      <c r="F20" s="16" t="s">
        <v>187</v>
      </c>
      <c r="G20" s="16" t="s">
        <v>185</v>
      </c>
      <c r="H20" s="17">
        <v>5.3999999999999999E-2</v>
      </c>
      <c r="I20" s="17">
        <v>5.3999999999999999E-2</v>
      </c>
      <c r="J20" s="17">
        <v>5.3999999999999999E-2</v>
      </c>
    </row>
    <row r="21" spans="1:10" x14ac:dyDescent="0.3">
      <c r="A21" s="16" t="s">
        <v>151</v>
      </c>
      <c r="B21" s="27" t="s">
        <v>192</v>
      </c>
      <c r="C21" s="16" t="s">
        <v>190</v>
      </c>
      <c r="D21" s="16" t="s">
        <v>188</v>
      </c>
      <c r="E21" s="16" t="s">
        <v>28</v>
      </c>
      <c r="F21" s="16" t="s">
        <v>187</v>
      </c>
      <c r="G21" s="16" t="s">
        <v>186</v>
      </c>
      <c r="H21" s="17">
        <v>0.12</v>
      </c>
      <c r="I21" s="17">
        <v>0.12</v>
      </c>
      <c r="J21" s="17">
        <v>0.12</v>
      </c>
    </row>
    <row r="22" spans="1:10" x14ac:dyDescent="0.3">
      <c r="A22" s="16" t="s">
        <v>152</v>
      </c>
      <c r="B22" s="27" t="s">
        <v>192</v>
      </c>
      <c r="C22" s="16" t="s">
        <v>184</v>
      </c>
      <c r="D22" s="16" t="s">
        <v>188</v>
      </c>
      <c r="E22" s="16" t="s">
        <v>30</v>
      </c>
      <c r="F22" s="16" t="s">
        <v>182</v>
      </c>
      <c r="G22" s="27" t="s">
        <v>183</v>
      </c>
      <c r="H22" s="28">
        <v>2.5999999999999999E-2</v>
      </c>
      <c r="I22" s="28">
        <v>2.5999999999999999E-2</v>
      </c>
      <c r="J22" s="28">
        <v>2.5999999999999999E-2</v>
      </c>
    </row>
    <row r="23" spans="1:10" x14ac:dyDescent="0.3">
      <c r="A23" s="16" t="s">
        <v>153</v>
      </c>
      <c r="B23" s="27" t="s">
        <v>192</v>
      </c>
      <c r="C23" s="16" t="s">
        <v>184</v>
      </c>
      <c r="D23" s="16" t="s">
        <v>188</v>
      </c>
      <c r="E23" s="16" t="s">
        <v>30</v>
      </c>
      <c r="F23" s="16" t="s">
        <v>182</v>
      </c>
      <c r="G23" s="27" t="s">
        <v>185</v>
      </c>
      <c r="H23" s="28">
        <v>0.188</v>
      </c>
      <c r="I23" s="28">
        <v>0.188</v>
      </c>
      <c r="J23" s="28">
        <v>0.188</v>
      </c>
    </row>
    <row r="24" spans="1:10" x14ac:dyDescent="0.3">
      <c r="A24" s="16" t="s">
        <v>154</v>
      </c>
      <c r="B24" s="27" t="s">
        <v>192</v>
      </c>
      <c r="C24" s="16" t="s">
        <v>184</v>
      </c>
      <c r="D24" s="16" t="s">
        <v>188</v>
      </c>
      <c r="E24" s="16" t="s">
        <v>30</v>
      </c>
      <c r="F24" s="16" t="s">
        <v>182</v>
      </c>
      <c r="G24" s="27" t="s">
        <v>186</v>
      </c>
      <c r="H24" s="28">
        <v>0.90600000000000003</v>
      </c>
      <c r="I24" s="28">
        <v>0.90600000000000003</v>
      </c>
      <c r="J24" s="28">
        <v>0.90600000000000003</v>
      </c>
    </row>
    <row r="25" spans="1:10" x14ac:dyDescent="0.3">
      <c r="A25" s="16" t="s">
        <v>155</v>
      </c>
      <c r="B25" s="27" t="s">
        <v>192</v>
      </c>
      <c r="C25" s="16" t="s">
        <v>184</v>
      </c>
      <c r="D25" s="16" t="s">
        <v>188</v>
      </c>
      <c r="E25" s="16" t="s">
        <v>30</v>
      </c>
      <c r="F25" s="16" t="s">
        <v>187</v>
      </c>
      <c r="G25" s="16" t="s">
        <v>183</v>
      </c>
      <c r="H25" s="17">
        <v>0</v>
      </c>
      <c r="I25" s="17">
        <v>0</v>
      </c>
      <c r="J25" s="17">
        <v>0</v>
      </c>
    </row>
    <row r="26" spans="1:10" x14ac:dyDescent="0.3">
      <c r="A26" s="16" t="s">
        <v>156</v>
      </c>
      <c r="B26" s="27" t="s">
        <v>192</v>
      </c>
      <c r="C26" s="16" t="s">
        <v>189</v>
      </c>
      <c r="D26" s="16" t="s">
        <v>188</v>
      </c>
      <c r="E26" s="16" t="s">
        <v>30</v>
      </c>
      <c r="F26" s="16" t="s">
        <v>187</v>
      </c>
      <c r="G26" s="16" t="s">
        <v>185</v>
      </c>
      <c r="H26" s="17">
        <v>0.17</v>
      </c>
      <c r="I26" s="17">
        <v>0.17</v>
      </c>
      <c r="J26" s="17">
        <v>0.17</v>
      </c>
    </row>
    <row r="27" spans="1:10" x14ac:dyDescent="0.3">
      <c r="A27" s="16" t="s">
        <v>157</v>
      </c>
      <c r="B27" s="27" t="s">
        <v>192</v>
      </c>
      <c r="C27" s="16" t="s">
        <v>190</v>
      </c>
      <c r="D27" s="16" t="s">
        <v>188</v>
      </c>
      <c r="E27" s="16" t="s">
        <v>30</v>
      </c>
      <c r="F27" s="16" t="s">
        <v>187</v>
      </c>
      <c r="G27" s="16" t="s">
        <v>186</v>
      </c>
      <c r="H27" s="17">
        <v>0.246</v>
      </c>
      <c r="I27" s="17">
        <v>0.246</v>
      </c>
      <c r="J27" s="17">
        <v>0.246</v>
      </c>
    </row>
    <row r="28" spans="1:10" x14ac:dyDescent="0.3">
      <c r="A28" s="27" t="s">
        <v>158</v>
      </c>
      <c r="B28" s="27" t="s">
        <v>192</v>
      </c>
      <c r="C28" s="27" t="s">
        <v>184</v>
      </c>
      <c r="D28" s="27" t="s">
        <v>3</v>
      </c>
      <c r="E28" s="27" t="s">
        <v>28</v>
      </c>
      <c r="F28" s="27" t="s">
        <v>182</v>
      </c>
      <c r="G28" s="27" t="s">
        <v>183</v>
      </c>
      <c r="H28" s="28">
        <v>6.9000000000000006E-2</v>
      </c>
      <c r="I28" s="28">
        <v>6.9000000000000006E-2</v>
      </c>
      <c r="J28" s="28">
        <v>6.9000000000000006E-2</v>
      </c>
    </row>
    <row r="29" spans="1:10" x14ac:dyDescent="0.3">
      <c r="A29" s="27" t="s">
        <v>159</v>
      </c>
      <c r="B29" s="27" t="s">
        <v>192</v>
      </c>
      <c r="C29" s="27" t="s">
        <v>190</v>
      </c>
      <c r="D29" s="27" t="s">
        <v>3</v>
      </c>
      <c r="E29" s="27" t="s">
        <v>28</v>
      </c>
      <c r="F29" s="27" t="s">
        <v>182</v>
      </c>
      <c r="G29" s="27" t="s">
        <v>185</v>
      </c>
      <c r="H29" s="28">
        <v>5.3999999999999999E-2</v>
      </c>
      <c r="I29" s="28">
        <v>5.3999999999999999E-2</v>
      </c>
      <c r="J29" s="28">
        <v>5.3999999999999999E-2</v>
      </c>
    </row>
    <row r="30" spans="1:10" x14ac:dyDescent="0.3">
      <c r="A30" s="27" t="s">
        <v>160</v>
      </c>
      <c r="B30" s="27" t="s">
        <v>192</v>
      </c>
      <c r="C30" s="27" t="s">
        <v>191</v>
      </c>
      <c r="D30" s="27" t="s">
        <v>3</v>
      </c>
      <c r="E30" s="27" t="s">
        <v>28</v>
      </c>
      <c r="F30" s="27" t="s">
        <v>182</v>
      </c>
      <c r="G30" s="27" t="s">
        <v>186</v>
      </c>
      <c r="H30" s="28">
        <v>7.0000000000000007E-2</v>
      </c>
      <c r="I30" s="28">
        <v>7.0000000000000007E-2</v>
      </c>
      <c r="J30" s="28">
        <v>7.0000000000000007E-2</v>
      </c>
    </row>
    <row r="31" spans="1:10" x14ac:dyDescent="0.3">
      <c r="A31" s="16" t="s">
        <v>161</v>
      </c>
      <c r="B31" s="27" t="s">
        <v>192</v>
      </c>
      <c r="C31" s="16" t="s">
        <v>191</v>
      </c>
      <c r="D31" s="16" t="s">
        <v>3</v>
      </c>
      <c r="E31" s="16" t="s">
        <v>28</v>
      </c>
      <c r="F31" s="16" t="s">
        <v>187</v>
      </c>
      <c r="G31" s="16" t="s">
        <v>183</v>
      </c>
      <c r="H31" s="17">
        <v>1.4999999999999999E-2</v>
      </c>
      <c r="I31" s="17">
        <v>1.4999999999999999E-2</v>
      </c>
      <c r="J31" s="17">
        <v>1.4999999999999999E-2</v>
      </c>
    </row>
    <row r="32" spans="1:10" x14ac:dyDescent="0.3">
      <c r="A32" s="16" t="s">
        <v>162</v>
      </c>
      <c r="B32" s="27" t="s">
        <v>192</v>
      </c>
      <c r="C32" s="16" t="s">
        <v>189</v>
      </c>
      <c r="D32" s="16" t="s">
        <v>3</v>
      </c>
      <c r="E32" s="16" t="s">
        <v>28</v>
      </c>
      <c r="F32" s="16" t="s">
        <v>187</v>
      </c>
      <c r="G32" s="16" t="s">
        <v>185</v>
      </c>
      <c r="H32" s="17">
        <v>1.6E-2</v>
      </c>
      <c r="I32" s="17">
        <v>1.6E-2</v>
      </c>
      <c r="J32" s="17">
        <v>1.6E-2</v>
      </c>
    </row>
    <row r="33" spans="1:10" x14ac:dyDescent="0.3">
      <c r="A33" s="16" t="s">
        <v>163</v>
      </c>
      <c r="B33" s="27" t="s">
        <v>192</v>
      </c>
      <c r="C33" s="16" t="s">
        <v>184</v>
      </c>
      <c r="D33" s="16" t="s">
        <v>3</v>
      </c>
      <c r="E33" s="16" t="s">
        <v>28</v>
      </c>
      <c r="F33" s="16" t="s">
        <v>187</v>
      </c>
      <c r="G33" s="16" t="s">
        <v>186</v>
      </c>
      <c r="H33" s="17">
        <v>1.7000000000000001E-2</v>
      </c>
      <c r="I33" s="17">
        <v>1.7000000000000001E-2</v>
      </c>
      <c r="J33" s="17">
        <v>1.7000000000000001E-2</v>
      </c>
    </row>
    <row r="34" spans="1:10" x14ac:dyDescent="0.3">
      <c r="A34" s="16" t="s">
        <v>164</v>
      </c>
      <c r="B34" s="27" t="s">
        <v>192</v>
      </c>
      <c r="C34" s="16" t="s">
        <v>190</v>
      </c>
      <c r="D34" s="16" t="s">
        <v>3</v>
      </c>
      <c r="E34" s="16" t="s">
        <v>30</v>
      </c>
      <c r="F34" s="16" t="s">
        <v>182</v>
      </c>
      <c r="G34" s="27" t="s">
        <v>183</v>
      </c>
      <c r="H34" s="28">
        <v>7.4999999999999997E-2</v>
      </c>
      <c r="I34" s="28">
        <v>7.4999999999999997E-2</v>
      </c>
      <c r="J34" s="28">
        <v>7.4999999999999997E-2</v>
      </c>
    </row>
    <row r="35" spans="1:10" x14ac:dyDescent="0.3">
      <c r="A35" s="16" t="s">
        <v>165</v>
      </c>
      <c r="B35" s="27" t="s">
        <v>192</v>
      </c>
      <c r="C35" s="16" t="s">
        <v>184</v>
      </c>
      <c r="D35" s="16" t="s">
        <v>3</v>
      </c>
      <c r="E35" s="16" t="s">
        <v>30</v>
      </c>
      <c r="F35" s="16" t="s">
        <v>182</v>
      </c>
      <c r="G35" s="27" t="s">
        <v>185</v>
      </c>
      <c r="H35" s="28">
        <v>6.6000000000000003E-2</v>
      </c>
      <c r="I35" s="28">
        <v>6.6000000000000003E-2</v>
      </c>
      <c r="J35" s="28">
        <v>6.6000000000000003E-2</v>
      </c>
    </row>
    <row r="36" spans="1:10" x14ac:dyDescent="0.3">
      <c r="A36" s="16" t="s">
        <v>166</v>
      </c>
      <c r="B36" s="27" t="s">
        <v>192</v>
      </c>
      <c r="C36" s="16" t="s">
        <v>184</v>
      </c>
      <c r="D36" s="16" t="s">
        <v>3</v>
      </c>
      <c r="E36" s="16" t="s">
        <v>30</v>
      </c>
      <c r="F36" s="16" t="s">
        <v>182</v>
      </c>
      <c r="G36" s="27" t="s">
        <v>186</v>
      </c>
      <c r="H36" s="28">
        <v>0.09</v>
      </c>
      <c r="I36" s="28">
        <v>0.09</v>
      </c>
      <c r="J36" s="28">
        <v>0.09</v>
      </c>
    </row>
    <row r="37" spans="1:10" x14ac:dyDescent="0.3">
      <c r="A37" s="16" t="s">
        <v>167</v>
      </c>
      <c r="B37" s="27" t="s">
        <v>192</v>
      </c>
      <c r="C37" s="16" t="s">
        <v>191</v>
      </c>
      <c r="D37" s="16" t="s">
        <v>3</v>
      </c>
      <c r="E37" s="16" t="s">
        <v>30</v>
      </c>
      <c r="F37" s="16" t="s">
        <v>187</v>
      </c>
      <c r="G37" s="16" t="s">
        <v>183</v>
      </c>
      <c r="H37" s="17">
        <v>3.1E-2</v>
      </c>
      <c r="I37" s="17">
        <v>3.1E-2</v>
      </c>
      <c r="J37" s="17">
        <v>3.1E-2</v>
      </c>
    </row>
    <row r="38" spans="1:10" x14ac:dyDescent="0.3">
      <c r="A38" s="16" t="s">
        <v>168</v>
      </c>
      <c r="B38" s="27" t="s">
        <v>192</v>
      </c>
      <c r="C38" s="16" t="s">
        <v>190</v>
      </c>
      <c r="D38" s="16" t="s">
        <v>3</v>
      </c>
      <c r="E38" s="16" t="s">
        <v>30</v>
      </c>
      <c r="F38" s="16" t="s">
        <v>187</v>
      </c>
      <c r="G38" s="16" t="s">
        <v>185</v>
      </c>
      <c r="H38" s="17">
        <v>3.5000000000000003E-2</v>
      </c>
      <c r="I38" s="17">
        <v>3.5000000000000003E-2</v>
      </c>
      <c r="J38" s="17">
        <v>3.5000000000000003E-2</v>
      </c>
    </row>
    <row r="39" spans="1:10" x14ac:dyDescent="0.3">
      <c r="A39" s="16" t="s">
        <v>169</v>
      </c>
      <c r="B39" s="27" t="s">
        <v>192</v>
      </c>
      <c r="C39" s="16" t="s">
        <v>184</v>
      </c>
      <c r="D39" s="16" t="s">
        <v>3</v>
      </c>
      <c r="E39" s="16" t="s">
        <v>30</v>
      </c>
      <c r="F39" s="16" t="s">
        <v>187</v>
      </c>
      <c r="G39" s="16" t="s">
        <v>186</v>
      </c>
      <c r="H39" s="17">
        <v>3.7999999999999999E-2</v>
      </c>
      <c r="I39" s="17">
        <v>3.7999999999999999E-2</v>
      </c>
      <c r="J39" s="17">
        <v>3.7999999999999999E-2</v>
      </c>
    </row>
    <row r="40" spans="1:10" x14ac:dyDescent="0.3">
      <c r="A40" s="27" t="s">
        <v>170</v>
      </c>
      <c r="B40" s="27" t="s">
        <v>192</v>
      </c>
      <c r="C40" s="27" t="s">
        <v>184</v>
      </c>
      <c r="D40" s="27" t="s">
        <v>2</v>
      </c>
      <c r="E40" s="27" t="s">
        <v>28</v>
      </c>
      <c r="F40" s="27" t="s">
        <v>182</v>
      </c>
      <c r="G40" s="27" t="s">
        <v>183</v>
      </c>
      <c r="H40" s="28">
        <v>0.23899999999999999</v>
      </c>
      <c r="I40" s="28">
        <v>0.23899999999999999</v>
      </c>
      <c r="J40" s="28">
        <v>0.23899999999999999</v>
      </c>
    </row>
    <row r="41" spans="1:10" x14ac:dyDescent="0.3">
      <c r="A41" s="27" t="s">
        <v>171</v>
      </c>
      <c r="B41" s="27" t="s">
        <v>192</v>
      </c>
      <c r="C41" s="27" t="s">
        <v>189</v>
      </c>
      <c r="D41" s="27" t="s">
        <v>2</v>
      </c>
      <c r="E41" s="27" t="s">
        <v>28</v>
      </c>
      <c r="F41" s="27" t="s">
        <v>182</v>
      </c>
      <c r="G41" s="27" t="s">
        <v>185</v>
      </c>
      <c r="H41" s="28">
        <v>0.23799999999999999</v>
      </c>
      <c r="I41" s="28">
        <v>0.23799999999999999</v>
      </c>
      <c r="J41" s="28">
        <v>0.23799999999999999</v>
      </c>
    </row>
    <row r="42" spans="1:10" x14ac:dyDescent="0.3">
      <c r="A42" s="27" t="s">
        <v>172</v>
      </c>
      <c r="B42" s="27" t="s">
        <v>192</v>
      </c>
      <c r="C42" s="27" t="s">
        <v>189</v>
      </c>
      <c r="D42" s="27" t="s">
        <v>2</v>
      </c>
      <c r="E42" s="27" t="s">
        <v>28</v>
      </c>
      <c r="F42" s="27" t="s">
        <v>182</v>
      </c>
      <c r="G42" s="27" t="s">
        <v>186</v>
      </c>
      <c r="H42" s="28">
        <v>0.20699999999999999</v>
      </c>
      <c r="I42" s="28">
        <v>0.20699999999999999</v>
      </c>
      <c r="J42" s="28">
        <v>0.20699999999999999</v>
      </c>
    </row>
    <row r="43" spans="1:10" x14ac:dyDescent="0.3">
      <c r="A43" s="16" t="s">
        <v>173</v>
      </c>
      <c r="B43" s="27" t="s">
        <v>192</v>
      </c>
      <c r="C43" s="16" t="s">
        <v>184</v>
      </c>
      <c r="D43" s="16" t="s">
        <v>2</v>
      </c>
      <c r="E43" s="16" t="s">
        <v>28</v>
      </c>
      <c r="F43" s="16" t="s">
        <v>187</v>
      </c>
      <c r="G43" s="16" t="s">
        <v>183</v>
      </c>
      <c r="H43" s="17">
        <v>0.121</v>
      </c>
      <c r="I43" s="17">
        <v>0.121</v>
      </c>
      <c r="J43" s="17">
        <v>0.121</v>
      </c>
    </row>
    <row r="44" spans="1:10" x14ac:dyDescent="0.3">
      <c r="A44" s="16" t="s">
        <v>174</v>
      </c>
      <c r="B44" s="27" t="s">
        <v>192</v>
      </c>
      <c r="C44" s="16" t="s">
        <v>191</v>
      </c>
      <c r="D44" s="16" t="s">
        <v>2</v>
      </c>
      <c r="E44" s="16" t="s">
        <v>28</v>
      </c>
      <c r="F44" s="16" t="s">
        <v>187</v>
      </c>
      <c r="G44" s="16" t="s">
        <v>185</v>
      </c>
      <c r="H44" s="17">
        <v>0.11799999999999999</v>
      </c>
      <c r="I44" s="17">
        <v>0.11799999999999999</v>
      </c>
      <c r="J44" s="17">
        <v>0.11799999999999999</v>
      </c>
    </row>
    <row r="45" spans="1:10" x14ac:dyDescent="0.3">
      <c r="A45" s="16" t="s">
        <v>175</v>
      </c>
      <c r="B45" s="27" t="s">
        <v>192</v>
      </c>
      <c r="C45" s="16" t="s">
        <v>189</v>
      </c>
      <c r="D45" s="16" t="s">
        <v>2</v>
      </c>
      <c r="E45" s="16" t="s">
        <v>28</v>
      </c>
      <c r="F45" s="16" t="s">
        <v>187</v>
      </c>
      <c r="G45" s="16" t="s">
        <v>186</v>
      </c>
      <c r="H45" s="17">
        <v>0.114</v>
      </c>
      <c r="I45" s="17">
        <v>0.114</v>
      </c>
      <c r="J45" s="17">
        <v>0.114</v>
      </c>
    </row>
    <row r="46" spans="1:10" x14ac:dyDescent="0.3">
      <c r="A46" s="16" t="s">
        <v>176</v>
      </c>
      <c r="B46" s="27" t="s">
        <v>192</v>
      </c>
      <c r="C46" s="16" t="s">
        <v>189</v>
      </c>
      <c r="D46" s="16" t="s">
        <v>2</v>
      </c>
      <c r="E46" s="16" t="s">
        <v>30</v>
      </c>
      <c r="F46" s="16" t="s">
        <v>182</v>
      </c>
      <c r="G46" s="27" t="s">
        <v>183</v>
      </c>
      <c r="H46" s="28">
        <v>0.24399999999999999</v>
      </c>
      <c r="I46" s="28">
        <v>0.24399999999999999</v>
      </c>
      <c r="J46" s="28">
        <v>0.24399999999999999</v>
      </c>
    </row>
    <row r="47" spans="1:10" x14ac:dyDescent="0.3">
      <c r="A47" s="16" t="s">
        <v>177</v>
      </c>
      <c r="B47" s="27" t="s">
        <v>192</v>
      </c>
      <c r="C47" s="16" t="s">
        <v>184</v>
      </c>
      <c r="D47" s="16" t="s">
        <v>2</v>
      </c>
      <c r="E47" s="16" t="s">
        <v>30</v>
      </c>
      <c r="F47" s="16" t="s">
        <v>182</v>
      </c>
      <c r="G47" s="27" t="s">
        <v>185</v>
      </c>
      <c r="H47" s="28">
        <v>0.24099999999999999</v>
      </c>
      <c r="I47" s="28">
        <v>0.24099999999999999</v>
      </c>
      <c r="J47" s="28">
        <v>0.24099999999999999</v>
      </c>
    </row>
    <row r="48" spans="1:10" x14ac:dyDescent="0.3">
      <c r="A48" s="16" t="s">
        <v>178</v>
      </c>
      <c r="B48" s="27" t="s">
        <v>192</v>
      </c>
      <c r="C48" s="16" t="s">
        <v>184</v>
      </c>
      <c r="D48" s="16" t="s">
        <v>2</v>
      </c>
      <c r="E48" s="16" t="s">
        <v>30</v>
      </c>
      <c r="F48" s="16" t="s">
        <v>182</v>
      </c>
      <c r="G48" s="27" t="s">
        <v>186</v>
      </c>
      <c r="H48" s="28">
        <v>0.20499999999999999</v>
      </c>
      <c r="I48" s="28">
        <v>0.20499999999999999</v>
      </c>
      <c r="J48" s="28">
        <v>0.20499999999999999</v>
      </c>
    </row>
    <row r="49" spans="1:10" x14ac:dyDescent="0.3">
      <c r="A49" s="16" t="s">
        <v>179</v>
      </c>
      <c r="B49" s="27" t="s">
        <v>192</v>
      </c>
      <c r="C49" s="16" t="s">
        <v>184</v>
      </c>
      <c r="D49" s="16" t="s">
        <v>2</v>
      </c>
      <c r="E49" s="16" t="s">
        <v>30</v>
      </c>
      <c r="F49" s="16" t="s">
        <v>187</v>
      </c>
      <c r="G49" s="16" t="s">
        <v>183</v>
      </c>
      <c r="H49" s="17">
        <v>0.14199999999999999</v>
      </c>
      <c r="I49" s="17">
        <v>0.14199999999999999</v>
      </c>
      <c r="J49" s="17">
        <v>0.14199999999999999</v>
      </c>
    </row>
    <row r="50" spans="1:10" x14ac:dyDescent="0.3">
      <c r="A50" s="16" t="s">
        <v>180</v>
      </c>
      <c r="B50" s="27" t="s">
        <v>192</v>
      </c>
      <c r="C50" s="16" t="s">
        <v>184</v>
      </c>
      <c r="D50" s="16" t="s">
        <v>2</v>
      </c>
      <c r="E50" s="16" t="s">
        <v>30</v>
      </c>
      <c r="F50" s="16" t="s">
        <v>187</v>
      </c>
      <c r="G50" s="16" t="s">
        <v>185</v>
      </c>
      <c r="H50" s="17">
        <v>0.13600000000000001</v>
      </c>
      <c r="I50" s="17">
        <v>0.13600000000000001</v>
      </c>
      <c r="J50" s="17">
        <v>0.13600000000000001</v>
      </c>
    </row>
    <row r="51" spans="1:10" x14ac:dyDescent="0.3">
      <c r="A51" s="18" t="s">
        <v>181</v>
      </c>
      <c r="B51" s="27" t="s">
        <v>192</v>
      </c>
      <c r="C51" s="18" t="s">
        <v>190</v>
      </c>
      <c r="D51" s="18" t="s">
        <v>2</v>
      </c>
      <c r="E51" s="18" t="s">
        <v>30</v>
      </c>
      <c r="F51" s="18" t="s">
        <v>187</v>
      </c>
      <c r="G51" s="18" t="s">
        <v>186</v>
      </c>
      <c r="H51" s="19">
        <v>0.13100000000000001</v>
      </c>
      <c r="I51" s="19">
        <v>0.13100000000000001</v>
      </c>
      <c r="J51" s="19">
        <v>0.13100000000000001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/>
  </sheetViews>
  <sheetFormatPr defaultRowHeight="16.5" x14ac:dyDescent="0.3"/>
  <cols>
    <col min="1" max="4" width="9" style="1"/>
    <col min="5" max="5" width="9" style="1" customWidth="1"/>
    <col min="6" max="7" width="9" style="1"/>
    <col min="8" max="8" width="8.5" style="1" customWidth="1"/>
    <col min="9" max="16384" width="9" style="1"/>
  </cols>
  <sheetData>
    <row r="1" spans="1:8" ht="22.5" x14ac:dyDescent="0.3">
      <c r="A1" s="13" t="s">
        <v>66</v>
      </c>
      <c r="B1" s="14" t="s">
        <v>67</v>
      </c>
      <c r="C1" s="14" t="s">
        <v>126</v>
      </c>
      <c r="D1" s="14" t="s">
        <v>127</v>
      </c>
      <c r="E1" s="15" t="s">
        <v>128</v>
      </c>
      <c r="F1" s="15" t="s">
        <v>129</v>
      </c>
      <c r="G1" s="14" t="s">
        <v>130</v>
      </c>
      <c r="H1" s="20" t="s">
        <v>196</v>
      </c>
    </row>
    <row r="2" spans="1:8" ht="120.75" customHeight="1" x14ac:dyDescent="0.3">
      <c r="A2" s="27" t="str">
        <f>설치열교!A4</f>
        <v>WS_001</v>
      </c>
      <c r="B2" s="27" t="str">
        <f>설치열교!B4</f>
        <v>표준</v>
      </c>
      <c r="C2" s="27" t="str">
        <f>설치열교!C4</f>
        <v>표준설치열교</v>
      </c>
      <c r="D2" s="27" t="str">
        <f>설치열교!D4</f>
        <v>내단열</v>
      </c>
      <c r="E2" s="27" t="str">
        <f>설치열교!E4</f>
        <v>플라스틱</v>
      </c>
      <c r="F2" s="27" t="str">
        <f>설치열교!F4</f>
        <v>단창</v>
      </c>
      <c r="G2" s="27" t="str">
        <f>설치열교!G4</f>
        <v>외부측</v>
      </c>
      <c r="H2" s="28"/>
    </row>
    <row r="3" spans="1:8" ht="120.75" customHeight="1" x14ac:dyDescent="0.3">
      <c r="A3" s="27" t="str">
        <f>설치열교!A5</f>
        <v>WS_002</v>
      </c>
      <c r="B3" s="27" t="str">
        <f>설치열교!B5</f>
        <v>표준</v>
      </c>
      <c r="C3" s="27" t="str">
        <f>설치열교!C5</f>
        <v>표준설치열교</v>
      </c>
      <c r="D3" s="27" t="str">
        <f>설치열교!D5</f>
        <v>내단열</v>
      </c>
      <c r="E3" s="27" t="str">
        <f>설치열교!E5</f>
        <v>플라스틱</v>
      </c>
      <c r="F3" s="27" t="str">
        <f>설치열교!F5</f>
        <v>단창</v>
      </c>
      <c r="G3" s="27" t="str">
        <f>설치열교!G5</f>
        <v>중간</v>
      </c>
      <c r="H3" s="28"/>
    </row>
    <row r="4" spans="1:8" ht="120.75" customHeight="1" x14ac:dyDescent="0.3">
      <c r="A4" s="27" t="str">
        <f>설치열교!A6</f>
        <v>WS_003</v>
      </c>
      <c r="B4" s="27" t="str">
        <f>설치열교!B6</f>
        <v>표준</v>
      </c>
      <c r="C4" s="27" t="str">
        <f>설치열교!C6</f>
        <v>표준설치열교</v>
      </c>
      <c r="D4" s="27" t="str">
        <f>설치열교!D6</f>
        <v>내단열</v>
      </c>
      <c r="E4" s="27" t="str">
        <f>설치열교!E6</f>
        <v>플라스틱</v>
      </c>
      <c r="F4" s="27" t="str">
        <f>설치열교!F6</f>
        <v>단창</v>
      </c>
      <c r="G4" s="27" t="str">
        <f>설치열교!G6</f>
        <v>내부측</v>
      </c>
      <c r="H4" s="28"/>
    </row>
    <row r="5" spans="1:8" ht="120.75" customHeight="1" x14ac:dyDescent="0.3">
      <c r="A5" s="27" t="str">
        <f>설치열교!A7</f>
        <v>WS_004</v>
      </c>
      <c r="B5" s="27" t="str">
        <f>설치열교!B7</f>
        <v>표준</v>
      </c>
      <c r="C5" s="27" t="str">
        <f>설치열교!C7</f>
        <v>표준설치열교</v>
      </c>
      <c r="D5" s="27" t="str">
        <f>설치열교!D7</f>
        <v>내단열</v>
      </c>
      <c r="E5" s="27" t="str">
        <f>설치열교!E7</f>
        <v>플라스틱</v>
      </c>
      <c r="F5" s="27" t="str">
        <f>설치열교!F7</f>
        <v>이중창</v>
      </c>
      <c r="G5" s="27" t="str">
        <f>설치열교!G7</f>
        <v>외부측</v>
      </c>
      <c r="H5" s="17"/>
    </row>
    <row r="6" spans="1:8" ht="120.75" customHeight="1" x14ac:dyDescent="0.3">
      <c r="A6" s="27" t="str">
        <f>설치열교!A8</f>
        <v>WS_005</v>
      </c>
      <c r="B6" s="27" t="str">
        <f>설치열교!B8</f>
        <v>표준</v>
      </c>
      <c r="C6" s="27" t="str">
        <f>설치열교!C8</f>
        <v>표준설치열교</v>
      </c>
      <c r="D6" s="27" t="str">
        <f>설치열교!D8</f>
        <v>내단열</v>
      </c>
      <c r="E6" s="27" t="str">
        <f>설치열교!E8</f>
        <v>플라스틱</v>
      </c>
      <c r="F6" s="27" t="str">
        <f>설치열교!F8</f>
        <v>이중창</v>
      </c>
      <c r="G6" s="27" t="str">
        <f>설치열교!G8</f>
        <v>중간</v>
      </c>
      <c r="H6" s="17"/>
    </row>
    <row r="7" spans="1:8" ht="120.75" customHeight="1" x14ac:dyDescent="0.3">
      <c r="A7" s="27" t="str">
        <f>설치열교!A9</f>
        <v>WS_006</v>
      </c>
      <c r="B7" s="27" t="str">
        <f>설치열교!B9</f>
        <v>표준</v>
      </c>
      <c r="C7" s="27" t="str">
        <f>설치열교!C9</f>
        <v>표준설치열교</v>
      </c>
      <c r="D7" s="27" t="str">
        <f>설치열교!D9</f>
        <v>내단열</v>
      </c>
      <c r="E7" s="27" t="str">
        <f>설치열교!E9</f>
        <v>플라스틱</v>
      </c>
      <c r="F7" s="27" t="str">
        <f>설치열교!F9</f>
        <v>이중창</v>
      </c>
      <c r="G7" s="27" t="str">
        <f>설치열교!G9</f>
        <v>내부측</v>
      </c>
      <c r="H7" s="17"/>
    </row>
    <row r="8" spans="1:8" ht="120.75" customHeight="1" x14ac:dyDescent="0.3">
      <c r="A8" s="27" t="str">
        <f>설치열교!A10</f>
        <v>WS_007</v>
      </c>
      <c r="B8" s="27" t="str">
        <f>설치열교!B10</f>
        <v>표준</v>
      </c>
      <c r="C8" s="27" t="str">
        <f>설치열교!C10</f>
        <v>표준설치열교</v>
      </c>
      <c r="D8" s="27" t="str">
        <f>설치열교!D10</f>
        <v>내단열</v>
      </c>
      <c r="E8" s="27" t="str">
        <f>설치열교!E10</f>
        <v>금속</v>
      </c>
      <c r="F8" s="27" t="str">
        <f>설치열교!F10</f>
        <v>단창</v>
      </c>
      <c r="G8" s="27" t="str">
        <f>설치열교!G10</f>
        <v>외부측</v>
      </c>
      <c r="H8" s="28"/>
    </row>
    <row r="9" spans="1:8" ht="120.75" customHeight="1" x14ac:dyDescent="0.3">
      <c r="A9" s="27" t="str">
        <f>설치열교!A11</f>
        <v>WS_008</v>
      </c>
      <c r="B9" s="27" t="str">
        <f>설치열교!B11</f>
        <v>표준</v>
      </c>
      <c r="C9" s="27" t="str">
        <f>설치열교!C11</f>
        <v>표준설치열교</v>
      </c>
      <c r="D9" s="27" t="str">
        <f>설치열교!D11</f>
        <v>내단열</v>
      </c>
      <c r="E9" s="27" t="str">
        <f>설치열교!E11</f>
        <v>금속</v>
      </c>
      <c r="F9" s="27" t="str">
        <f>설치열교!F11</f>
        <v>단창</v>
      </c>
      <c r="G9" s="27" t="str">
        <f>설치열교!G11</f>
        <v>중간</v>
      </c>
      <c r="H9" s="28"/>
    </row>
    <row r="10" spans="1:8" ht="120.75" customHeight="1" x14ac:dyDescent="0.3">
      <c r="A10" s="16" t="s">
        <v>142</v>
      </c>
      <c r="B10" s="27" t="s">
        <v>192</v>
      </c>
      <c r="C10" s="16" t="s">
        <v>184</v>
      </c>
      <c r="D10" s="16" t="s">
        <v>0</v>
      </c>
      <c r="E10" s="16" t="s">
        <v>30</v>
      </c>
      <c r="F10" s="16" t="s">
        <v>182</v>
      </c>
      <c r="G10" s="27" t="s">
        <v>186</v>
      </c>
      <c r="H10" s="28"/>
    </row>
    <row r="11" spans="1:8" ht="120.75" customHeight="1" x14ac:dyDescent="0.3">
      <c r="A11" s="16" t="s">
        <v>143</v>
      </c>
      <c r="B11" s="27" t="s">
        <v>192</v>
      </c>
      <c r="C11" s="16" t="s">
        <v>184</v>
      </c>
      <c r="D11" s="16" t="s">
        <v>0</v>
      </c>
      <c r="E11" s="16" t="s">
        <v>30</v>
      </c>
      <c r="F11" s="16" t="s">
        <v>187</v>
      </c>
      <c r="G11" s="16" t="s">
        <v>183</v>
      </c>
      <c r="H11" s="17"/>
    </row>
    <row r="12" spans="1:8" ht="120.75" customHeight="1" x14ac:dyDescent="0.3">
      <c r="A12" s="16" t="s">
        <v>144</v>
      </c>
      <c r="B12" s="27" t="s">
        <v>192</v>
      </c>
      <c r="C12" s="16" t="s">
        <v>190</v>
      </c>
      <c r="D12" s="16" t="s">
        <v>0</v>
      </c>
      <c r="E12" s="16" t="s">
        <v>30</v>
      </c>
      <c r="F12" s="16" t="s">
        <v>187</v>
      </c>
      <c r="G12" s="16" t="s">
        <v>185</v>
      </c>
      <c r="H12" s="17"/>
    </row>
    <row r="13" spans="1:8" ht="120.75" customHeight="1" x14ac:dyDescent="0.3">
      <c r="A13" s="16" t="s">
        <v>145</v>
      </c>
      <c r="B13" s="27" t="s">
        <v>192</v>
      </c>
      <c r="C13" s="16" t="s">
        <v>189</v>
      </c>
      <c r="D13" s="16" t="s">
        <v>0</v>
      </c>
      <c r="E13" s="16" t="s">
        <v>30</v>
      </c>
      <c r="F13" s="16" t="s">
        <v>187</v>
      </c>
      <c r="G13" s="16" t="s">
        <v>186</v>
      </c>
      <c r="H13" s="17"/>
    </row>
    <row r="14" spans="1:8" ht="120.75" customHeight="1" x14ac:dyDescent="0.3">
      <c r="A14" s="27" t="s">
        <v>146</v>
      </c>
      <c r="B14" s="27" t="s">
        <v>192</v>
      </c>
      <c r="C14" s="27" t="s">
        <v>184</v>
      </c>
      <c r="D14" s="27" t="s">
        <v>188</v>
      </c>
      <c r="E14" s="27" t="s">
        <v>28</v>
      </c>
      <c r="F14" s="27" t="s">
        <v>182</v>
      </c>
      <c r="G14" s="27" t="s">
        <v>183</v>
      </c>
      <c r="H14" s="28"/>
    </row>
    <row r="15" spans="1:8" ht="120.75" customHeight="1" x14ac:dyDescent="0.3">
      <c r="A15" s="27" t="s">
        <v>147</v>
      </c>
      <c r="B15" s="27" t="s">
        <v>192</v>
      </c>
      <c r="C15" s="27" t="s">
        <v>184</v>
      </c>
      <c r="D15" s="27" t="s">
        <v>188</v>
      </c>
      <c r="E15" s="27" t="s">
        <v>28</v>
      </c>
      <c r="F15" s="27" t="s">
        <v>182</v>
      </c>
      <c r="G15" s="27" t="s">
        <v>185</v>
      </c>
      <c r="H15" s="28"/>
    </row>
    <row r="16" spans="1:8" ht="120.75" customHeight="1" x14ac:dyDescent="0.3">
      <c r="A16" s="27" t="s">
        <v>148</v>
      </c>
      <c r="B16" s="27" t="s">
        <v>192</v>
      </c>
      <c r="C16" s="27" t="s">
        <v>189</v>
      </c>
      <c r="D16" s="27" t="s">
        <v>188</v>
      </c>
      <c r="E16" s="27" t="s">
        <v>28</v>
      </c>
      <c r="F16" s="27" t="s">
        <v>182</v>
      </c>
      <c r="G16" s="27" t="s">
        <v>186</v>
      </c>
      <c r="H16" s="28"/>
    </row>
    <row r="17" spans="1:8" ht="120.75" customHeight="1" x14ac:dyDescent="0.3">
      <c r="A17" s="16" t="s">
        <v>149</v>
      </c>
      <c r="B17" s="27" t="s">
        <v>192</v>
      </c>
      <c r="C17" s="16" t="s">
        <v>184</v>
      </c>
      <c r="D17" s="16" t="s">
        <v>188</v>
      </c>
      <c r="E17" s="16" t="s">
        <v>28</v>
      </c>
      <c r="F17" s="16" t="s">
        <v>187</v>
      </c>
      <c r="G17" s="16" t="s">
        <v>183</v>
      </c>
      <c r="H17" s="17"/>
    </row>
    <row r="18" spans="1:8" ht="120.75" customHeight="1" x14ac:dyDescent="0.3">
      <c r="A18" s="16" t="s">
        <v>150</v>
      </c>
      <c r="B18" s="27" t="s">
        <v>192</v>
      </c>
      <c r="C18" s="16" t="s">
        <v>184</v>
      </c>
      <c r="D18" s="16" t="s">
        <v>188</v>
      </c>
      <c r="E18" s="16" t="s">
        <v>28</v>
      </c>
      <c r="F18" s="16" t="s">
        <v>187</v>
      </c>
      <c r="G18" s="16" t="s">
        <v>185</v>
      </c>
      <c r="H18" s="17"/>
    </row>
    <row r="19" spans="1:8" ht="120.75" customHeight="1" x14ac:dyDescent="0.3">
      <c r="A19" s="16" t="s">
        <v>151</v>
      </c>
      <c r="B19" s="27" t="s">
        <v>192</v>
      </c>
      <c r="C19" s="16" t="s">
        <v>190</v>
      </c>
      <c r="D19" s="16" t="s">
        <v>188</v>
      </c>
      <c r="E19" s="16" t="s">
        <v>28</v>
      </c>
      <c r="F19" s="16" t="s">
        <v>187</v>
      </c>
      <c r="G19" s="16" t="s">
        <v>186</v>
      </c>
      <c r="H19" s="17"/>
    </row>
    <row r="20" spans="1:8" ht="120.75" customHeight="1" x14ac:dyDescent="0.3">
      <c r="A20" s="16" t="s">
        <v>152</v>
      </c>
      <c r="B20" s="27" t="s">
        <v>192</v>
      </c>
      <c r="C20" s="16" t="s">
        <v>184</v>
      </c>
      <c r="D20" s="16" t="s">
        <v>188</v>
      </c>
      <c r="E20" s="16" t="s">
        <v>30</v>
      </c>
      <c r="F20" s="16" t="s">
        <v>182</v>
      </c>
      <c r="G20" s="27" t="s">
        <v>183</v>
      </c>
      <c r="H20" s="28"/>
    </row>
    <row r="21" spans="1:8" ht="120.75" customHeight="1" x14ac:dyDescent="0.3">
      <c r="A21" s="16" t="s">
        <v>153</v>
      </c>
      <c r="B21" s="27" t="s">
        <v>192</v>
      </c>
      <c r="C21" s="16" t="s">
        <v>184</v>
      </c>
      <c r="D21" s="16" t="s">
        <v>188</v>
      </c>
      <c r="E21" s="16" t="s">
        <v>30</v>
      </c>
      <c r="F21" s="16" t="s">
        <v>182</v>
      </c>
      <c r="G21" s="27" t="s">
        <v>185</v>
      </c>
      <c r="H21" s="28"/>
    </row>
    <row r="22" spans="1:8" ht="120.75" customHeight="1" x14ac:dyDescent="0.3">
      <c r="A22" s="16" t="s">
        <v>154</v>
      </c>
      <c r="B22" s="27" t="s">
        <v>192</v>
      </c>
      <c r="C22" s="16" t="s">
        <v>184</v>
      </c>
      <c r="D22" s="16" t="s">
        <v>188</v>
      </c>
      <c r="E22" s="16" t="s">
        <v>30</v>
      </c>
      <c r="F22" s="16" t="s">
        <v>182</v>
      </c>
      <c r="G22" s="27" t="s">
        <v>186</v>
      </c>
      <c r="H22" s="28"/>
    </row>
    <row r="23" spans="1:8" ht="120.75" customHeight="1" x14ac:dyDescent="0.3">
      <c r="A23" s="16" t="s">
        <v>155</v>
      </c>
      <c r="B23" s="27" t="s">
        <v>192</v>
      </c>
      <c r="C23" s="16" t="s">
        <v>184</v>
      </c>
      <c r="D23" s="16" t="s">
        <v>188</v>
      </c>
      <c r="E23" s="16" t="s">
        <v>30</v>
      </c>
      <c r="F23" s="16" t="s">
        <v>187</v>
      </c>
      <c r="G23" s="16" t="s">
        <v>183</v>
      </c>
      <c r="H23" s="17"/>
    </row>
    <row r="24" spans="1:8" ht="120.75" customHeight="1" x14ac:dyDescent="0.3">
      <c r="A24" s="16" t="s">
        <v>156</v>
      </c>
      <c r="B24" s="27" t="s">
        <v>192</v>
      </c>
      <c r="C24" s="16" t="s">
        <v>189</v>
      </c>
      <c r="D24" s="16" t="s">
        <v>188</v>
      </c>
      <c r="E24" s="16" t="s">
        <v>30</v>
      </c>
      <c r="F24" s="16" t="s">
        <v>187</v>
      </c>
      <c r="G24" s="16" t="s">
        <v>185</v>
      </c>
      <c r="H24" s="17"/>
    </row>
    <row r="25" spans="1:8" ht="120.75" customHeight="1" x14ac:dyDescent="0.3">
      <c r="A25" s="16" t="s">
        <v>157</v>
      </c>
      <c r="B25" s="27" t="s">
        <v>192</v>
      </c>
      <c r="C25" s="16" t="s">
        <v>190</v>
      </c>
      <c r="D25" s="16" t="s">
        <v>188</v>
      </c>
      <c r="E25" s="16" t="s">
        <v>30</v>
      </c>
      <c r="F25" s="16" t="s">
        <v>187</v>
      </c>
      <c r="G25" s="16" t="s">
        <v>186</v>
      </c>
      <c r="H25" s="17"/>
    </row>
    <row r="26" spans="1:8" ht="120.75" customHeight="1" x14ac:dyDescent="0.3">
      <c r="A26" s="27" t="s">
        <v>158</v>
      </c>
      <c r="B26" s="27" t="s">
        <v>192</v>
      </c>
      <c r="C26" s="27" t="s">
        <v>184</v>
      </c>
      <c r="D26" s="27" t="s">
        <v>3</v>
      </c>
      <c r="E26" s="27" t="s">
        <v>28</v>
      </c>
      <c r="F26" s="27" t="s">
        <v>182</v>
      </c>
      <c r="G26" s="27" t="s">
        <v>183</v>
      </c>
      <c r="H26" s="28"/>
    </row>
    <row r="27" spans="1:8" ht="120.75" customHeight="1" x14ac:dyDescent="0.3">
      <c r="A27" s="27" t="s">
        <v>159</v>
      </c>
      <c r="B27" s="27" t="s">
        <v>192</v>
      </c>
      <c r="C27" s="27" t="s">
        <v>190</v>
      </c>
      <c r="D27" s="27" t="s">
        <v>3</v>
      </c>
      <c r="E27" s="27" t="s">
        <v>28</v>
      </c>
      <c r="F27" s="27" t="s">
        <v>182</v>
      </c>
      <c r="G27" s="27" t="s">
        <v>185</v>
      </c>
      <c r="H27" s="28"/>
    </row>
    <row r="28" spans="1:8" ht="120.75" customHeight="1" x14ac:dyDescent="0.3">
      <c r="A28" s="27" t="s">
        <v>160</v>
      </c>
      <c r="B28" s="27" t="s">
        <v>192</v>
      </c>
      <c r="C28" s="27" t="s">
        <v>191</v>
      </c>
      <c r="D28" s="27" t="s">
        <v>3</v>
      </c>
      <c r="E28" s="27" t="s">
        <v>28</v>
      </c>
      <c r="F28" s="27" t="s">
        <v>182</v>
      </c>
      <c r="G28" s="27" t="s">
        <v>186</v>
      </c>
      <c r="H28" s="28"/>
    </row>
    <row r="29" spans="1:8" ht="120.75" customHeight="1" x14ac:dyDescent="0.3">
      <c r="A29" s="16" t="s">
        <v>161</v>
      </c>
      <c r="B29" s="27" t="s">
        <v>192</v>
      </c>
      <c r="C29" s="16" t="s">
        <v>191</v>
      </c>
      <c r="D29" s="16" t="s">
        <v>3</v>
      </c>
      <c r="E29" s="16" t="s">
        <v>28</v>
      </c>
      <c r="F29" s="16" t="s">
        <v>187</v>
      </c>
      <c r="G29" s="16" t="s">
        <v>183</v>
      </c>
      <c r="H29" s="17"/>
    </row>
    <row r="30" spans="1:8" ht="120.75" customHeight="1" x14ac:dyDescent="0.3">
      <c r="A30" s="16" t="s">
        <v>162</v>
      </c>
      <c r="B30" s="27" t="s">
        <v>192</v>
      </c>
      <c r="C30" s="16" t="s">
        <v>189</v>
      </c>
      <c r="D30" s="16" t="s">
        <v>3</v>
      </c>
      <c r="E30" s="16" t="s">
        <v>28</v>
      </c>
      <c r="F30" s="16" t="s">
        <v>187</v>
      </c>
      <c r="G30" s="16" t="s">
        <v>185</v>
      </c>
      <c r="H30" s="17"/>
    </row>
    <row r="31" spans="1:8" ht="120.75" customHeight="1" x14ac:dyDescent="0.3">
      <c r="A31" s="16" t="s">
        <v>163</v>
      </c>
      <c r="B31" s="27" t="s">
        <v>192</v>
      </c>
      <c r="C31" s="16" t="s">
        <v>184</v>
      </c>
      <c r="D31" s="16" t="s">
        <v>3</v>
      </c>
      <c r="E31" s="16" t="s">
        <v>28</v>
      </c>
      <c r="F31" s="16" t="s">
        <v>187</v>
      </c>
      <c r="G31" s="16" t="s">
        <v>186</v>
      </c>
      <c r="H31" s="17"/>
    </row>
    <row r="32" spans="1:8" ht="120.75" customHeight="1" x14ac:dyDescent="0.3">
      <c r="A32" s="16" t="s">
        <v>164</v>
      </c>
      <c r="B32" s="27" t="s">
        <v>192</v>
      </c>
      <c r="C32" s="16" t="s">
        <v>190</v>
      </c>
      <c r="D32" s="16" t="s">
        <v>3</v>
      </c>
      <c r="E32" s="16" t="s">
        <v>30</v>
      </c>
      <c r="F32" s="16" t="s">
        <v>182</v>
      </c>
      <c r="G32" s="27" t="s">
        <v>183</v>
      </c>
      <c r="H32" s="28"/>
    </row>
    <row r="33" spans="1:8" ht="120.75" customHeight="1" x14ac:dyDescent="0.3">
      <c r="A33" s="16" t="s">
        <v>165</v>
      </c>
      <c r="B33" s="27" t="s">
        <v>192</v>
      </c>
      <c r="C33" s="16" t="s">
        <v>184</v>
      </c>
      <c r="D33" s="16" t="s">
        <v>3</v>
      </c>
      <c r="E33" s="16" t="s">
        <v>30</v>
      </c>
      <c r="F33" s="16" t="s">
        <v>182</v>
      </c>
      <c r="G33" s="27" t="s">
        <v>185</v>
      </c>
      <c r="H33" s="28"/>
    </row>
    <row r="34" spans="1:8" ht="120.75" customHeight="1" x14ac:dyDescent="0.3">
      <c r="A34" s="16" t="s">
        <v>166</v>
      </c>
      <c r="B34" s="27" t="s">
        <v>192</v>
      </c>
      <c r="C34" s="16" t="s">
        <v>184</v>
      </c>
      <c r="D34" s="16" t="s">
        <v>3</v>
      </c>
      <c r="E34" s="16" t="s">
        <v>30</v>
      </c>
      <c r="F34" s="16" t="s">
        <v>182</v>
      </c>
      <c r="G34" s="27" t="s">
        <v>186</v>
      </c>
      <c r="H34" s="28"/>
    </row>
    <row r="35" spans="1:8" ht="120.75" customHeight="1" x14ac:dyDescent="0.3">
      <c r="A35" s="16" t="s">
        <v>167</v>
      </c>
      <c r="B35" s="27" t="s">
        <v>192</v>
      </c>
      <c r="C35" s="16" t="s">
        <v>191</v>
      </c>
      <c r="D35" s="16" t="s">
        <v>3</v>
      </c>
      <c r="E35" s="16" t="s">
        <v>30</v>
      </c>
      <c r="F35" s="16" t="s">
        <v>187</v>
      </c>
      <c r="G35" s="16" t="s">
        <v>183</v>
      </c>
      <c r="H35" s="17"/>
    </row>
    <row r="36" spans="1:8" ht="120.75" customHeight="1" x14ac:dyDescent="0.3">
      <c r="A36" s="16" t="s">
        <v>168</v>
      </c>
      <c r="B36" s="27" t="s">
        <v>192</v>
      </c>
      <c r="C36" s="16" t="s">
        <v>190</v>
      </c>
      <c r="D36" s="16" t="s">
        <v>3</v>
      </c>
      <c r="E36" s="16" t="s">
        <v>30</v>
      </c>
      <c r="F36" s="16" t="s">
        <v>187</v>
      </c>
      <c r="G36" s="16" t="s">
        <v>185</v>
      </c>
      <c r="H36" s="17"/>
    </row>
    <row r="37" spans="1:8" ht="120.75" customHeight="1" x14ac:dyDescent="0.3">
      <c r="A37" s="16" t="s">
        <v>169</v>
      </c>
      <c r="B37" s="27" t="s">
        <v>192</v>
      </c>
      <c r="C37" s="16" t="s">
        <v>184</v>
      </c>
      <c r="D37" s="16" t="s">
        <v>3</v>
      </c>
      <c r="E37" s="16" t="s">
        <v>30</v>
      </c>
      <c r="F37" s="16" t="s">
        <v>187</v>
      </c>
      <c r="G37" s="16" t="s">
        <v>186</v>
      </c>
      <c r="H37" s="17"/>
    </row>
    <row r="38" spans="1:8" ht="120.75" customHeight="1" x14ac:dyDescent="0.3">
      <c r="A38" s="27" t="s">
        <v>170</v>
      </c>
      <c r="B38" s="27" t="s">
        <v>192</v>
      </c>
      <c r="C38" s="27" t="s">
        <v>184</v>
      </c>
      <c r="D38" s="27" t="s">
        <v>2</v>
      </c>
      <c r="E38" s="27" t="s">
        <v>28</v>
      </c>
      <c r="F38" s="27" t="s">
        <v>182</v>
      </c>
      <c r="G38" s="27" t="s">
        <v>183</v>
      </c>
      <c r="H38" s="28"/>
    </row>
    <row r="39" spans="1:8" ht="120.75" customHeight="1" x14ac:dyDescent="0.3">
      <c r="A39" s="27" t="s">
        <v>171</v>
      </c>
      <c r="B39" s="27" t="s">
        <v>192</v>
      </c>
      <c r="C39" s="27" t="s">
        <v>189</v>
      </c>
      <c r="D39" s="27" t="s">
        <v>2</v>
      </c>
      <c r="E39" s="27" t="s">
        <v>28</v>
      </c>
      <c r="F39" s="27" t="s">
        <v>182</v>
      </c>
      <c r="G39" s="27" t="s">
        <v>185</v>
      </c>
      <c r="H39" s="28"/>
    </row>
    <row r="40" spans="1:8" ht="120.75" customHeight="1" x14ac:dyDescent="0.3">
      <c r="A40" s="27" t="s">
        <v>172</v>
      </c>
      <c r="B40" s="27" t="s">
        <v>192</v>
      </c>
      <c r="C40" s="27" t="s">
        <v>189</v>
      </c>
      <c r="D40" s="27" t="s">
        <v>2</v>
      </c>
      <c r="E40" s="27" t="s">
        <v>28</v>
      </c>
      <c r="F40" s="27" t="s">
        <v>182</v>
      </c>
      <c r="G40" s="27" t="s">
        <v>186</v>
      </c>
      <c r="H40" s="28"/>
    </row>
    <row r="41" spans="1:8" ht="120.75" customHeight="1" x14ac:dyDescent="0.3">
      <c r="A41" s="16" t="s">
        <v>173</v>
      </c>
      <c r="B41" s="27" t="s">
        <v>192</v>
      </c>
      <c r="C41" s="16" t="s">
        <v>184</v>
      </c>
      <c r="D41" s="16" t="s">
        <v>2</v>
      </c>
      <c r="E41" s="16" t="s">
        <v>28</v>
      </c>
      <c r="F41" s="16" t="s">
        <v>187</v>
      </c>
      <c r="G41" s="16" t="s">
        <v>183</v>
      </c>
      <c r="H41" s="17"/>
    </row>
    <row r="42" spans="1:8" ht="120.75" customHeight="1" x14ac:dyDescent="0.3">
      <c r="A42" s="16" t="s">
        <v>174</v>
      </c>
      <c r="B42" s="27" t="s">
        <v>192</v>
      </c>
      <c r="C42" s="16" t="s">
        <v>191</v>
      </c>
      <c r="D42" s="16" t="s">
        <v>2</v>
      </c>
      <c r="E42" s="16" t="s">
        <v>28</v>
      </c>
      <c r="F42" s="16" t="s">
        <v>187</v>
      </c>
      <c r="G42" s="16" t="s">
        <v>185</v>
      </c>
      <c r="H42" s="17"/>
    </row>
    <row r="43" spans="1:8" ht="120.75" customHeight="1" x14ac:dyDescent="0.3">
      <c r="A43" s="16" t="s">
        <v>175</v>
      </c>
      <c r="B43" s="27" t="s">
        <v>192</v>
      </c>
      <c r="C43" s="16" t="s">
        <v>189</v>
      </c>
      <c r="D43" s="16" t="s">
        <v>2</v>
      </c>
      <c r="E43" s="16" t="s">
        <v>28</v>
      </c>
      <c r="F43" s="16" t="s">
        <v>187</v>
      </c>
      <c r="G43" s="16" t="s">
        <v>186</v>
      </c>
      <c r="H43" s="17"/>
    </row>
    <row r="44" spans="1:8" ht="120.75" customHeight="1" x14ac:dyDescent="0.3">
      <c r="A44" s="16" t="s">
        <v>176</v>
      </c>
      <c r="B44" s="27" t="s">
        <v>192</v>
      </c>
      <c r="C44" s="16" t="s">
        <v>189</v>
      </c>
      <c r="D44" s="16" t="s">
        <v>2</v>
      </c>
      <c r="E44" s="16" t="s">
        <v>30</v>
      </c>
      <c r="F44" s="16" t="s">
        <v>182</v>
      </c>
      <c r="G44" s="27" t="s">
        <v>183</v>
      </c>
      <c r="H44" s="28"/>
    </row>
    <row r="45" spans="1:8" ht="120.75" customHeight="1" x14ac:dyDescent="0.3">
      <c r="A45" s="16" t="s">
        <v>177</v>
      </c>
      <c r="B45" s="27" t="s">
        <v>192</v>
      </c>
      <c r="C45" s="16" t="s">
        <v>184</v>
      </c>
      <c r="D45" s="16" t="s">
        <v>2</v>
      </c>
      <c r="E45" s="16" t="s">
        <v>30</v>
      </c>
      <c r="F45" s="16" t="s">
        <v>182</v>
      </c>
      <c r="G45" s="27" t="s">
        <v>185</v>
      </c>
      <c r="H45" s="28"/>
    </row>
    <row r="46" spans="1:8" ht="120.75" customHeight="1" x14ac:dyDescent="0.3">
      <c r="A46" s="16" t="s">
        <v>178</v>
      </c>
      <c r="B46" s="27" t="s">
        <v>192</v>
      </c>
      <c r="C46" s="16" t="s">
        <v>184</v>
      </c>
      <c r="D46" s="16" t="s">
        <v>2</v>
      </c>
      <c r="E46" s="16" t="s">
        <v>30</v>
      </c>
      <c r="F46" s="16" t="s">
        <v>182</v>
      </c>
      <c r="G46" s="27" t="s">
        <v>186</v>
      </c>
      <c r="H46" s="28"/>
    </row>
    <row r="47" spans="1:8" ht="120.75" customHeight="1" x14ac:dyDescent="0.3">
      <c r="A47" s="16" t="s">
        <v>179</v>
      </c>
      <c r="B47" s="27" t="s">
        <v>192</v>
      </c>
      <c r="C47" s="16" t="s">
        <v>184</v>
      </c>
      <c r="D47" s="16" t="s">
        <v>2</v>
      </c>
      <c r="E47" s="16" t="s">
        <v>30</v>
      </c>
      <c r="F47" s="16" t="s">
        <v>187</v>
      </c>
      <c r="G47" s="16" t="s">
        <v>183</v>
      </c>
      <c r="H47" s="17"/>
    </row>
    <row r="48" spans="1:8" ht="120.75" customHeight="1" x14ac:dyDescent="0.3">
      <c r="A48" s="16" t="s">
        <v>180</v>
      </c>
      <c r="B48" s="27" t="s">
        <v>192</v>
      </c>
      <c r="C48" s="16" t="s">
        <v>184</v>
      </c>
      <c r="D48" s="16" t="s">
        <v>2</v>
      </c>
      <c r="E48" s="16" t="s">
        <v>30</v>
      </c>
      <c r="F48" s="16" t="s">
        <v>187</v>
      </c>
      <c r="G48" s="16" t="s">
        <v>185</v>
      </c>
      <c r="H48" s="17"/>
    </row>
    <row r="49" spans="1:8" ht="120.75" customHeight="1" x14ac:dyDescent="0.3">
      <c r="A49" s="18" t="s">
        <v>181</v>
      </c>
      <c r="B49" s="27" t="s">
        <v>192</v>
      </c>
      <c r="C49" s="18" t="s">
        <v>190</v>
      </c>
      <c r="D49" s="18" t="s">
        <v>2</v>
      </c>
      <c r="E49" s="18" t="s">
        <v>30</v>
      </c>
      <c r="F49" s="18" t="s">
        <v>187</v>
      </c>
      <c r="G49" s="18" t="s">
        <v>186</v>
      </c>
      <c r="H49" s="19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6.5" x14ac:dyDescent="0.3"/>
  <cols>
    <col min="2" max="2" width="16.75" customWidth="1"/>
    <col min="3" max="3" width="22.5" customWidth="1"/>
  </cols>
  <sheetData>
    <row r="1" spans="1:3" x14ac:dyDescent="0.3">
      <c r="A1" s="29" t="s">
        <v>6</v>
      </c>
      <c r="B1" s="34" t="s">
        <v>197</v>
      </c>
      <c r="C1" s="35" t="s">
        <v>204</v>
      </c>
    </row>
    <row r="2" spans="1:3" ht="191.25" customHeight="1" x14ac:dyDescent="0.3">
      <c r="A2" s="30">
        <v>1</v>
      </c>
      <c r="B2" s="31" t="s">
        <v>198</v>
      </c>
      <c r="C2" s="32"/>
    </row>
    <row r="3" spans="1:3" ht="191.25" customHeight="1" x14ac:dyDescent="0.3">
      <c r="A3" s="30">
        <v>2</v>
      </c>
      <c r="B3" s="31" t="s">
        <v>199</v>
      </c>
      <c r="C3" s="32"/>
    </row>
    <row r="4" spans="1:3" ht="191.25" customHeight="1" x14ac:dyDescent="0.3">
      <c r="A4" s="30">
        <v>3</v>
      </c>
      <c r="B4" s="31" t="s">
        <v>200</v>
      </c>
      <c r="C4" s="32"/>
    </row>
    <row r="5" spans="1:3" ht="191.25" customHeight="1" x14ac:dyDescent="0.3">
      <c r="A5" s="30">
        <v>4</v>
      </c>
      <c r="B5" s="31" t="s">
        <v>201</v>
      </c>
      <c r="C5" s="32"/>
    </row>
    <row r="6" spans="1:3" ht="191.25" customHeight="1" x14ac:dyDescent="0.3">
      <c r="A6" s="30">
        <v>5</v>
      </c>
      <c r="B6" s="31" t="s">
        <v>202</v>
      </c>
      <c r="C6" s="32"/>
    </row>
    <row r="7" spans="1:3" ht="191.25" customHeight="1" x14ac:dyDescent="0.3">
      <c r="A7" s="30">
        <v>6</v>
      </c>
      <c r="B7" s="31" t="s">
        <v>203</v>
      </c>
      <c r="C7" s="33"/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28"/>
  <sheetViews>
    <sheetView zoomScale="70" zoomScaleNormal="70" workbookViewId="0">
      <selection activeCell="L5" sqref="L5"/>
    </sheetView>
  </sheetViews>
  <sheetFormatPr defaultRowHeight="16.5" x14ac:dyDescent="0.3"/>
  <cols>
    <col min="1" max="2" width="9" style="1"/>
    <col min="3" max="3" width="13.5" style="1" customWidth="1"/>
    <col min="4" max="5" width="12.625" style="1" customWidth="1"/>
    <col min="6" max="16384" width="9" style="1"/>
  </cols>
  <sheetData>
    <row r="1" spans="1:5" ht="22.5" customHeight="1" x14ac:dyDescent="0.3">
      <c r="A1" s="40" t="s">
        <v>222</v>
      </c>
      <c r="B1" s="40"/>
      <c r="C1" s="40"/>
      <c r="D1" s="40"/>
      <c r="E1" s="40"/>
    </row>
    <row r="2" spans="1:5" ht="180" customHeight="1" x14ac:dyDescent="0.3">
      <c r="A2" s="37" t="s">
        <v>223</v>
      </c>
      <c r="B2" s="37" t="s">
        <v>224</v>
      </c>
      <c r="C2" s="37" t="s">
        <v>225</v>
      </c>
      <c r="D2" s="39"/>
      <c r="E2" s="39"/>
    </row>
    <row r="3" spans="1:5" ht="180" customHeight="1" x14ac:dyDescent="0.3">
      <c r="A3" s="37" t="s">
        <v>226</v>
      </c>
      <c r="B3" s="37" t="s">
        <v>227</v>
      </c>
      <c r="C3" s="37" t="s">
        <v>225</v>
      </c>
      <c r="D3" s="39"/>
      <c r="E3" s="39"/>
    </row>
    <row r="4" spans="1:5" ht="180" customHeight="1" x14ac:dyDescent="0.3">
      <c r="A4" s="37" t="s">
        <v>226</v>
      </c>
      <c r="B4" s="37" t="s">
        <v>195</v>
      </c>
      <c r="C4" s="37" t="s">
        <v>92</v>
      </c>
      <c r="D4" s="39"/>
      <c r="E4" s="39"/>
    </row>
    <row r="5" spans="1:5" ht="180" customHeight="1" x14ac:dyDescent="0.3">
      <c r="A5" s="37" t="s">
        <v>223</v>
      </c>
      <c r="B5" s="37" t="s">
        <v>224</v>
      </c>
      <c r="C5" s="37" t="s">
        <v>228</v>
      </c>
      <c r="D5" s="39"/>
      <c r="E5" s="39"/>
    </row>
    <row r="6" spans="1:5" ht="180" customHeight="1" x14ac:dyDescent="0.3">
      <c r="A6" s="37" t="s">
        <v>223</v>
      </c>
      <c r="B6" s="37" t="s">
        <v>227</v>
      </c>
      <c r="C6" s="37" t="s">
        <v>96</v>
      </c>
      <c r="D6" s="39"/>
      <c r="E6" s="39"/>
    </row>
    <row r="7" spans="1:5" ht="180" customHeight="1" x14ac:dyDescent="0.3">
      <c r="A7" s="37" t="s">
        <v>226</v>
      </c>
      <c r="B7" s="37" t="s">
        <v>229</v>
      </c>
      <c r="C7" s="37" t="s">
        <v>96</v>
      </c>
      <c r="D7" s="39"/>
      <c r="E7" s="39"/>
    </row>
    <row r="8" spans="1:5" ht="180" customHeight="1" x14ac:dyDescent="0.3">
      <c r="A8" s="37" t="s">
        <v>230</v>
      </c>
      <c r="B8" s="37" t="s">
        <v>224</v>
      </c>
      <c r="C8" s="37" t="s">
        <v>92</v>
      </c>
      <c r="D8" s="39"/>
      <c r="E8" s="39"/>
    </row>
    <row r="9" spans="1:5" ht="180" customHeight="1" x14ac:dyDescent="0.3">
      <c r="A9" s="37" t="s">
        <v>231</v>
      </c>
      <c r="B9" s="37" t="s">
        <v>194</v>
      </c>
      <c r="C9" s="37" t="s">
        <v>225</v>
      </c>
      <c r="D9" s="39"/>
      <c r="E9" s="39"/>
    </row>
    <row r="10" spans="1:5" ht="180" customHeight="1" x14ac:dyDescent="0.3">
      <c r="A10" s="37" t="s">
        <v>230</v>
      </c>
      <c r="B10" s="37" t="s">
        <v>229</v>
      </c>
      <c r="C10" s="37" t="s">
        <v>225</v>
      </c>
      <c r="D10" s="39"/>
      <c r="E10" s="39"/>
    </row>
    <row r="11" spans="1:5" ht="180" customHeight="1" x14ac:dyDescent="0.3">
      <c r="A11" s="37" t="s">
        <v>231</v>
      </c>
      <c r="B11" s="37" t="s">
        <v>224</v>
      </c>
      <c r="C11" s="37" t="s">
        <v>96</v>
      </c>
      <c r="D11" s="38"/>
      <c r="E11" s="39"/>
    </row>
    <row r="12" spans="1:5" ht="180" customHeight="1" x14ac:dyDescent="0.3">
      <c r="A12" s="37" t="s">
        <v>231</v>
      </c>
      <c r="B12" s="37" t="s">
        <v>227</v>
      </c>
      <c r="C12" s="37" t="s">
        <v>228</v>
      </c>
      <c r="D12" s="38"/>
      <c r="E12" s="39"/>
    </row>
    <row r="13" spans="1:5" ht="180" customHeight="1" x14ac:dyDescent="0.3">
      <c r="A13" s="37" t="s">
        <v>230</v>
      </c>
      <c r="B13" s="37" t="s">
        <v>229</v>
      </c>
      <c r="C13" s="37" t="s">
        <v>96</v>
      </c>
      <c r="D13" s="38"/>
      <c r="E13" s="39"/>
    </row>
    <row r="14" spans="1:5" ht="180" customHeight="1" x14ac:dyDescent="0.3">
      <c r="A14" s="37" t="s">
        <v>232</v>
      </c>
      <c r="B14" s="37" t="s">
        <v>193</v>
      </c>
      <c r="C14" s="37" t="s">
        <v>225</v>
      </c>
      <c r="D14" s="38"/>
      <c r="E14" s="39"/>
    </row>
    <row r="15" spans="1:5" ht="180" customHeight="1" x14ac:dyDescent="0.3">
      <c r="A15" s="37" t="s">
        <v>232</v>
      </c>
      <c r="B15" s="37" t="s">
        <v>227</v>
      </c>
      <c r="C15" s="37" t="s">
        <v>225</v>
      </c>
      <c r="D15" s="38"/>
      <c r="E15" s="39"/>
    </row>
    <row r="16" spans="1:5" ht="180" customHeight="1" x14ac:dyDescent="0.3">
      <c r="A16" s="37" t="s">
        <v>232</v>
      </c>
      <c r="B16" s="37" t="s">
        <v>229</v>
      </c>
      <c r="C16" s="37" t="s">
        <v>225</v>
      </c>
      <c r="D16" s="38"/>
      <c r="E16" s="39"/>
    </row>
    <row r="17" spans="1:5" ht="180" customHeight="1" x14ac:dyDescent="0.3">
      <c r="A17" s="37" t="s">
        <v>232</v>
      </c>
      <c r="B17" s="37" t="s">
        <v>224</v>
      </c>
      <c r="C17" s="37" t="s">
        <v>96</v>
      </c>
      <c r="D17" s="38"/>
      <c r="E17" s="39"/>
    </row>
    <row r="18" spans="1:5" ht="180" customHeight="1" x14ac:dyDescent="0.3">
      <c r="A18" s="37" t="s">
        <v>232</v>
      </c>
      <c r="B18" s="37" t="s">
        <v>227</v>
      </c>
      <c r="C18" s="37" t="s">
        <v>228</v>
      </c>
      <c r="D18" s="38"/>
      <c r="E18" s="39"/>
    </row>
    <row r="19" spans="1:5" ht="180" customHeight="1" x14ac:dyDescent="0.3">
      <c r="A19" s="37" t="s">
        <v>232</v>
      </c>
      <c r="B19" s="37" t="s">
        <v>229</v>
      </c>
      <c r="C19" s="37" t="s">
        <v>96</v>
      </c>
      <c r="D19" s="38"/>
      <c r="E19" s="39"/>
    </row>
    <row r="20" spans="1:5" ht="180" customHeight="1" x14ac:dyDescent="0.3"/>
    <row r="21" spans="1:5" ht="180" customHeight="1" x14ac:dyDescent="0.3"/>
    <row r="22" spans="1:5" ht="180" customHeight="1" x14ac:dyDescent="0.3"/>
    <row r="23" spans="1:5" ht="180" customHeight="1" x14ac:dyDescent="0.3"/>
    <row r="24" spans="1:5" ht="180" customHeight="1" x14ac:dyDescent="0.3"/>
    <row r="25" spans="1:5" ht="180" customHeight="1" x14ac:dyDescent="0.3"/>
    <row r="26" spans="1:5" ht="180" customHeight="1" x14ac:dyDescent="0.3"/>
    <row r="27" spans="1:5" ht="180" customHeight="1" x14ac:dyDescent="0.3"/>
    <row r="28" spans="1:5" ht="180" customHeight="1" x14ac:dyDescent="0.3"/>
  </sheetData>
  <mergeCells count="19">
    <mergeCell ref="A1:E1"/>
    <mergeCell ref="D2:E2"/>
    <mergeCell ref="D7:E7"/>
    <mergeCell ref="D8:E8"/>
    <mergeCell ref="D5:E5"/>
    <mergeCell ref="D6:E6"/>
    <mergeCell ref="D3:E3"/>
    <mergeCell ref="D4:E4"/>
    <mergeCell ref="D12:E12"/>
    <mergeCell ref="D13:E13"/>
    <mergeCell ref="D9:E9"/>
    <mergeCell ref="D10:E10"/>
    <mergeCell ref="D11:E11"/>
    <mergeCell ref="D19:E19"/>
    <mergeCell ref="D16:E16"/>
    <mergeCell ref="D17:E17"/>
    <mergeCell ref="D18:E18"/>
    <mergeCell ref="D14:E14"/>
    <mergeCell ref="D15:E1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창호프레임</vt:lpstr>
      <vt:lpstr>간봉</vt:lpstr>
      <vt:lpstr>설치열교</vt:lpstr>
      <vt:lpstr>이미지_설치열교</vt:lpstr>
      <vt:lpstr>이미지_구조유형</vt:lpstr>
      <vt:lpstr>이미지_창호프레임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2023-04-26T00:20:11Z</dcterms:created>
  <dcterms:modified xsi:type="dcterms:W3CDTF">2023-04-28T02:23:30Z</dcterms:modified>
</cp:coreProperties>
</file>