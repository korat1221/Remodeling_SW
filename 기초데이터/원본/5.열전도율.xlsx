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CDA29A7F-5B0E-4654-8B19-A4695E82A623}" xr6:coauthVersionLast="47" xr6:coauthVersionMax="47" xr10:uidLastSave="{00000000-0000-0000-0000-000000000000}"/>
  <bookViews>
    <workbookView xWindow="-120" yWindow="-120" windowWidth="29040" windowHeight="15720" xr2:uid="{B994C103-8FAD-47F5-A4D0-8DB80BA86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80" i="1"/>
  <c r="C79" i="1"/>
  <c r="C78" i="1"/>
  <c r="C77" i="1"/>
  <c r="C76" i="1"/>
  <c r="C75" i="1"/>
  <c r="C74" i="1"/>
  <c r="C73" i="1"/>
  <c r="C72" i="1"/>
  <c r="C71" i="1"/>
  <c r="C70" i="1"/>
  <c r="C69" i="1"/>
  <c r="C67" i="1"/>
  <c r="C66" i="1"/>
  <c r="C65" i="1"/>
  <c r="C64" i="1"/>
  <c r="C63" i="1"/>
  <c r="C62" i="1"/>
  <c r="C61" i="1"/>
  <c r="C60" i="1"/>
  <c r="C59" i="1"/>
  <c r="C58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<sst xmlns="http://schemas.openxmlformats.org/spreadsheetml/2006/main" count="350" uniqueCount="117">
  <si>
    <t>번호</t>
    <phoneticPr fontId="2" type="noConversion"/>
  </si>
  <si>
    <t>구분</t>
  </si>
  <si>
    <t>재료명</t>
  </si>
  <si>
    <t>종류</t>
  </si>
  <si>
    <t>초기열전도율</t>
    <phoneticPr fontId="2" type="noConversion"/>
  </si>
  <si>
    <t>ISO10456기준
열전도율</t>
    <phoneticPr fontId="2" type="noConversion"/>
  </si>
  <si>
    <t>밀도</t>
    <phoneticPr fontId="2" type="noConversion"/>
  </si>
  <si>
    <t>비열</t>
    <phoneticPr fontId="2" type="noConversion"/>
  </si>
  <si>
    <t>(DIN = DIN 4108-4:2013)</t>
  </si>
  <si>
    <t>W/(m·K)</t>
  </si>
  <si>
    <r>
      <t>kg/m</t>
    </r>
    <r>
      <rPr>
        <vertAlign val="superscript"/>
        <sz val="9"/>
        <color rgb="FF000000"/>
        <rFont val="맑은 고딕"/>
        <family val="3"/>
        <charset val="129"/>
      </rPr>
      <t>3</t>
    </r>
  </si>
  <si>
    <t>-</t>
  </si>
  <si>
    <t>kJ/(kg·K)</t>
  </si>
  <si>
    <t>단열재</t>
  </si>
  <si>
    <t>특호</t>
  </si>
  <si>
    <t>압출법보온판</t>
  </si>
  <si>
    <t>KS/ISO 10456</t>
  </si>
  <si>
    <t>1호</t>
  </si>
  <si>
    <t>2호</t>
  </si>
  <si>
    <t>3호</t>
  </si>
  <si>
    <t>비드법보온판1종</t>
  </si>
  <si>
    <t>4호</t>
  </si>
  <si>
    <t>비드법보온판2종</t>
  </si>
  <si>
    <t>경질우레탄폼보온판1종</t>
  </si>
  <si>
    <t>경질우레탄폼보온판2종</t>
  </si>
  <si>
    <t>펠트</t>
  </si>
  <si>
    <t>미네랄울(암면)</t>
  </si>
  <si>
    <t>40~70</t>
  </si>
  <si>
    <t>71~100</t>
  </si>
  <si>
    <t>101~160</t>
  </si>
  <si>
    <t>161~300</t>
  </si>
  <si>
    <t>64K</t>
  </si>
  <si>
    <t>글라스울</t>
  </si>
  <si>
    <t>48K</t>
  </si>
  <si>
    <t>32K</t>
  </si>
  <si>
    <t>24K</t>
  </si>
  <si>
    <t>20K</t>
  </si>
  <si>
    <t>에어로겔</t>
  </si>
  <si>
    <t>KS</t>
  </si>
  <si>
    <t>수성연질스프레이</t>
  </si>
  <si>
    <t>경질연질스프레이</t>
  </si>
  <si>
    <t>30~50</t>
  </si>
  <si>
    <t>ISO 10456</t>
  </si>
  <si>
    <t>보드</t>
  </si>
  <si>
    <t>페놀</t>
  </si>
  <si>
    <t>20~50</t>
  </si>
  <si>
    <t>난연경질우레탄폼스프레이</t>
    <phoneticPr fontId="2" type="noConversion"/>
  </si>
  <si>
    <t>진공단열재</t>
    <phoneticPr fontId="2" type="noConversion"/>
  </si>
  <si>
    <t xml:space="preserve">DIN </t>
  </si>
  <si>
    <t>펄라이트</t>
  </si>
  <si>
    <t>고밀도</t>
  </si>
  <si>
    <t>목섬유</t>
  </si>
  <si>
    <t>저밀도</t>
  </si>
  <si>
    <t>스트로벨</t>
  </si>
  <si>
    <t>유리발포</t>
  </si>
  <si>
    <t>콘크리트</t>
  </si>
  <si>
    <t>St.1%</t>
  </si>
  <si>
    <t>철근콘크리트</t>
  </si>
  <si>
    <t>St.2%</t>
  </si>
  <si>
    <t>고강도콘크리트</t>
  </si>
  <si>
    <t>콘크리트(1:2:4)</t>
  </si>
  <si>
    <t>경량콘크리트</t>
  </si>
  <si>
    <t>0.4폼</t>
  </si>
  <si>
    <t>기포콘크리트</t>
  </si>
  <si>
    <t>0.5폼</t>
  </si>
  <si>
    <t>0.6폼</t>
  </si>
  <si>
    <t>Polystyrol(고)</t>
  </si>
  <si>
    <t>혼합콘크리트</t>
  </si>
  <si>
    <t>DIN/ISO 10456</t>
  </si>
  <si>
    <t>Polystyrol(중)</t>
  </si>
  <si>
    <t>Polystyrol(저)</t>
  </si>
  <si>
    <t>발포점토</t>
  </si>
  <si>
    <t>미장</t>
  </si>
  <si>
    <t>시멘트 몰탈(미장)</t>
  </si>
  <si>
    <t>DIN</t>
  </si>
  <si>
    <t>석회(시멘트)몰탈</t>
  </si>
  <si>
    <t>석고몰탈</t>
  </si>
  <si>
    <t>비닐계타일</t>
    <phoneticPr fontId="2" type="noConversion"/>
  </si>
  <si>
    <t>시멘트단열몰탈</t>
  </si>
  <si>
    <t>&gt;200</t>
  </si>
  <si>
    <t>조적</t>
  </si>
  <si>
    <t>ALC블럭</t>
  </si>
  <si>
    <t>900~2200</t>
  </si>
  <si>
    <t>내화벽돌</t>
  </si>
  <si>
    <t>1000~2400</t>
  </si>
  <si>
    <t>콘크리트블럭(경량)</t>
  </si>
  <si>
    <t>KS/DIN</t>
  </si>
  <si>
    <t>콘크리트블럭(중량)</t>
  </si>
  <si>
    <t>시멘트벽돌</t>
  </si>
  <si>
    <t>패널</t>
  </si>
  <si>
    <t>석고보드</t>
  </si>
  <si>
    <t>방수석고보드</t>
  </si>
  <si>
    <t>MDF</t>
  </si>
  <si>
    <t>OSB</t>
  </si>
  <si>
    <t>석재</t>
    <phoneticPr fontId="2" type="noConversion"/>
  </si>
  <si>
    <t>목재</t>
  </si>
  <si>
    <t>목재(일반)</t>
  </si>
  <si>
    <t>목재(중량)</t>
  </si>
  <si>
    <t>바닥마감재</t>
  </si>
  <si>
    <t>금속재</t>
  </si>
  <si>
    <t>Steel</t>
  </si>
  <si>
    <t>강재</t>
  </si>
  <si>
    <t>불투과</t>
  </si>
  <si>
    <t>Zink</t>
  </si>
  <si>
    <t>징크</t>
  </si>
  <si>
    <t>Stainless steel</t>
  </si>
  <si>
    <t>스테인레스강</t>
  </si>
  <si>
    <t>알루미늄</t>
  </si>
  <si>
    <t>아연도금철판</t>
  </si>
  <si>
    <t>타일</t>
  </si>
  <si>
    <t>점토타일</t>
  </si>
  <si>
    <t>세라믹타일</t>
  </si>
  <si>
    <t>지중</t>
  </si>
  <si>
    <t>지점토</t>
  </si>
  <si>
    <t>모래 및 자갈</t>
  </si>
  <si>
    <t>투습저항계수dry</t>
    <phoneticPr fontId="2" type="noConversion"/>
  </si>
  <si>
    <t>투습저항계수wet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</si>
</sst>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vertAlign val="superscript"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FC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B5B4B2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FEEBDA"/>
        <bgColor indexed="64"/>
      </patternFill>
    </fill>
    <fill>
      <patternFill patternType="solid">
        <fgColor rgb="FFDDC3AC"/>
        <bgColor indexed="64"/>
      </patternFill>
    </fill>
  </fills>
  <borders count="1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rgb="FFAFABAB"/>
      </right>
      <top/>
      <bottom style="thin">
        <color rgb="FFAFABAB"/>
      </bottom>
      <diagonal/>
    </border>
    <border>
      <left style="thin">
        <color rgb="FFAFABAB"/>
      </left>
      <right style="thin">
        <color rgb="FFAFABAB"/>
      </right>
      <top/>
      <bottom style="thin">
        <color rgb="FFAFABAB"/>
      </bottom>
      <diagonal/>
    </border>
    <border>
      <left style="thin">
        <color rgb="FFAFABAB"/>
      </left>
      <right/>
      <top/>
      <bottom style="thin">
        <color rgb="FFAFABAB"/>
      </bottom>
      <diagonal/>
    </border>
    <border>
      <left style="thin">
        <color rgb="FFAFABAB"/>
      </left>
      <right style="thin">
        <color rgb="FF000000"/>
      </right>
      <top/>
      <bottom style="thin">
        <color rgb="FFAFABAB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FFAFABAB"/>
      </left>
      <right/>
      <top style="thin">
        <color rgb="FFAFABAB"/>
      </top>
      <bottom style="thin">
        <color rgb="FFAFABAB"/>
      </bottom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FFAFABAB"/>
      </left>
      <right style="thin">
        <color rgb="FF000000"/>
      </right>
      <top style="thin">
        <color rgb="FFAFABAB"/>
      </top>
      <bottom style="thin">
        <color rgb="FFAFABAB"/>
      </bottom>
      <diagonal/>
    </border>
    <border>
      <left/>
      <right style="thin">
        <color rgb="FFAFABAB"/>
      </right>
      <top style="thin">
        <color rgb="FFAFABAB"/>
      </top>
      <bottom style="thin">
        <color rgb="FF000000"/>
      </bottom>
      <diagonal/>
    </border>
    <border>
      <left style="thin">
        <color rgb="FFAFABAB"/>
      </left>
      <right/>
      <top style="thin">
        <color rgb="FFAFABAB"/>
      </top>
      <bottom style="thin">
        <color rgb="FF000000"/>
      </bottom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000000"/>
      </bottom>
      <diagonal/>
    </border>
    <border>
      <left style="thin">
        <color rgb="FFAFABAB"/>
      </left>
      <right style="thin">
        <color rgb="FF000000"/>
      </right>
      <top style="thin">
        <color rgb="FFAFABAB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1" xfId="0" applyFont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7" fillId="4" borderId="12" xfId="0" applyFont="1" applyFill="1" applyBorder="1" applyAlignment="1">
      <alignment horizontal="center" vertical="center" wrapText="1" readingOrder="1"/>
    </xf>
    <xf numFmtId="0" fontId="7" fillId="5" borderId="11" xfId="0" applyFont="1" applyFill="1" applyBorder="1" applyAlignment="1">
      <alignment horizontal="center" vertical="center" wrapText="1" readingOrder="1"/>
    </xf>
    <xf numFmtId="0" fontId="7" fillId="6" borderId="11" xfId="0" applyFont="1" applyFill="1" applyBorder="1" applyAlignment="1">
      <alignment horizontal="center" vertical="center" wrapText="1" readingOrder="1"/>
    </xf>
    <xf numFmtId="0" fontId="7" fillId="7" borderId="11" xfId="0" applyFont="1" applyFill="1" applyBorder="1" applyAlignment="1">
      <alignment horizontal="center" vertical="center" wrapText="1" readingOrder="1"/>
    </xf>
    <xf numFmtId="0" fontId="7" fillId="8" borderId="11" xfId="0" applyFont="1" applyFill="1" applyBorder="1" applyAlignment="1">
      <alignment horizontal="center" vertical="center" wrapText="1" readingOrder="1"/>
    </xf>
    <xf numFmtId="0" fontId="7" fillId="9" borderId="11" xfId="0" applyFont="1" applyFill="1" applyBorder="1" applyAlignment="1">
      <alignment horizontal="center" vertical="center" wrapText="1" readingOrder="1"/>
    </xf>
    <xf numFmtId="0" fontId="7" fillId="6" borderId="15" xfId="0" applyFont="1" applyFill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 readingOrder="1"/>
    </xf>
    <xf numFmtId="0" fontId="7" fillId="0" borderId="15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horizontal="center" vertical="center" wrapText="1" readingOrder="1"/>
    </xf>
    <xf numFmtId="0" fontId="9" fillId="4" borderId="11" xfId="0" applyFont="1" applyFill="1" applyBorder="1" applyAlignment="1">
      <alignment horizontal="center" vertical="center" wrapText="1" readingOrder="1"/>
    </xf>
    <xf numFmtId="0" fontId="9" fillId="4" borderId="7" xfId="0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 readingOrder="1"/>
    </xf>
    <xf numFmtId="0" fontId="9" fillId="4" borderId="14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090E-D7F5-455B-8773-4F9BD8613AB8}">
  <dimension ref="A1:K80"/>
  <sheetViews>
    <sheetView tabSelected="1" topLeftCell="A63" workbookViewId="0">
      <selection activeCell="C56" sqref="C56:K65"/>
    </sheetView>
  </sheetViews>
  <sheetFormatPr defaultRowHeight="16.5"/>
  <sheetData>
    <row r="1" spans="1:11" ht="16.5" customHeight="1">
      <c r="A1" s="26" t="s">
        <v>0</v>
      </c>
      <c r="B1" s="27" t="s">
        <v>1</v>
      </c>
      <c r="C1" s="28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115</v>
      </c>
      <c r="I1" s="31" t="s">
        <v>116</v>
      </c>
      <c r="J1" s="32" t="s">
        <v>7</v>
      </c>
      <c r="K1" s="28" t="s">
        <v>8</v>
      </c>
    </row>
    <row r="2" spans="1:11" ht="36">
      <c r="A2" s="26" t="s">
        <v>0</v>
      </c>
      <c r="B2" s="27" t="s">
        <v>1</v>
      </c>
      <c r="C2" s="28" t="s">
        <v>2</v>
      </c>
      <c r="D2" s="28" t="s">
        <v>3</v>
      </c>
      <c r="E2" s="29" t="s">
        <v>4</v>
      </c>
      <c r="F2" s="1" t="s">
        <v>9</v>
      </c>
      <c r="G2" s="1" t="s">
        <v>10</v>
      </c>
      <c r="H2" s="1" t="s">
        <v>11</v>
      </c>
      <c r="I2" s="1" t="s">
        <v>11</v>
      </c>
      <c r="J2" s="1" t="s">
        <v>12</v>
      </c>
      <c r="K2" s="28" t="s">
        <v>8</v>
      </c>
    </row>
    <row r="3" spans="1:11" ht="22.5">
      <c r="A3" s="2">
        <v>1</v>
      </c>
      <c r="B3" s="3" t="s">
        <v>13</v>
      </c>
      <c r="C3" s="4" t="str">
        <f t="shared" ref="C3:C66" si="0">IF(OR(D3="-",D3=""),E3,E3&amp;D3)</f>
        <v>압출법보온판특호</v>
      </c>
      <c r="D3" s="5" t="s">
        <v>14</v>
      </c>
      <c r="E3" s="4" t="s">
        <v>15</v>
      </c>
      <c r="F3" s="6">
        <v>2.7E-2</v>
      </c>
      <c r="G3" s="4">
        <v>35</v>
      </c>
      <c r="H3" s="4">
        <v>150</v>
      </c>
      <c r="I3" s="4">
        <v>150</v>
      </c>
      <c r="J3" s="4">
        <v>1.4</v>
      </c>
      <c r="K3" s="7" t="s">
        <v>16</v>
      </c>
    </row>
    <row r="4" spans="1:11" ht="22.5">
      <c r="A4" s="8">
        <v>2</v>
      </c>
      <c r="B4" s="9" t="s">
        <v>13</v>
      </c>
      <c r="C4" s="4" t="str">
        <f t="shared" si="0"/>
        <v>압출법보온판1호</v>
      </c>
      <c r="D4" s="10" t="s">
        <v>17</v>
      </c>
      <c r="E4" s="11" t="s">
        <v>15</v>
      </c>
      <c r="F4" s="12">
        <v>2.8000000000000001E-2</v>
      </c>
      <c r="G4" s="11">
        <v>30</v>
      </c>
      <c r="H4" s="11">
        <v>150</v>
      </c>
      <c r="I4" s="11">
        <v>150</v>
      </c>
      <c r="J4" s="11">
        <v>1.4</v>
      </c>
      <c r="K4" s="13" t="s">
        <v>16</v>
      </c>
    </row>
    <row r="5" spans="1:11" ht="22.5">
      <c r="A5" s="8">
        <v>3</v>
      </c>
      <c r="B5" s="9" t="s">
        <v>13</v>
      </c>
      <c r="C5" s="4" t="str">
        <f t="shared" si="0"/>
        <v>압출법보온판2호</v>
      </c>
      <c r="D5" s="10" t="s">
        <v>18</v>
      </c>
      <c r="E5" s="11" t="s">
        <v>15</v>
      </c>
      <c r="F5" s="12">
        <v>2.9000000000000001E-2</v>
      </c>
      <c r="G5" s="11">
        <v>25</v>
      </c>
      <c r="H5" s="11">
        <v>150</v>
      </c>
      <c r="I5" s="11">
        <v>150</v>
      </c>
      <c r="J5" s="11">
        <v>1.4</v>
      </c>
      <c r="K5" s="13" t="s">
        <v>16</v>
      </c>
    </row>
    <row r="6" spans="1:11" ht="22.5">
      <c r="A6" s="8">
        <v>4</v>
      </c>
      <c r="B6" s="9" t="s">
        <v>13</v>
      </c>
      <c r="C6" s="4" t="str">
        <f t="shared" si="0"/>
        <v>압출법보온판3호</v>
      </c>
      <c r="D6" s="10" t="s">
        <v>19</v>
      </c>
      <c r="E6" s="11" t="s">
        <v>15</v>
      </c>
      <c r="F6" s="12">
        <v>3.1E-2</v>
      </c>
      <c r="G6" s="11">
        <v>20</v>
      </c>
      <c r="H6" s="11">
        <v>150</v>
      </c>
      <c r="I6" s="11">
        <v>150</v>
      </c>
      <c r="J6" s="11">
        <v>1.4</v>
      </c>
      <c r="K6" s="13" t="s">
        <v>16</v>
      </c>
    </row>
    <row r="7" spans="1:11" ht="22.5">
      <c r="A7" s="8">
        <v>8</v>
      </c>
      <c r="B7" s="9" t="s">
        <v>13</v>
      </c>
      <c r="C7" s="4" t="str">
        <f t="shared" si="0"/>
        <v>비드법보온판1종1호</v>
      </c>
      <c r="D7" s="10" t="s">
        <v>17</v>
      </c>
      <c r="E7" s="11" t="s">
        <v>20</v>
      </c>
      <c r="F7" s="12">
        <v>3.5999999999999997E-2</v>
      </c>
      <c r="G7" s="11">
        <v>30</v>
      </c>
      <c r="H7" s="11">
        <v>60</v>
      </c>
      <c r="I7" s="11">
        <v>60</v>
      </c>
      <c r="J7" s="11">
        <v>1.45</v>
      </c>
      <c r="K7" s="13" t="s">
        <v>16</v>
      </c>
    </row>
    <row r="8" spans="1:11" ht="22.5">
      <c r="A8" s="8">
        <v>9</v>
      </c>
      <c r="B8" s="9" t="s">
        <v>13</v>
      </c>
      <c r="C8" s="4" t="str">
        <f t="shared" si="0"/>
        <v>비드법보온판1종2호</v>
      </c>
      <c r="D8" s="10" t="s">
        <v>18</v>
      </c>
      <c r="E8" s="11" t="s">
        <v>20</v>
      </c>
      <c r="F8" s="12">
        <v>3.6999999999999998E-2</v>
      </c>
      <c r="G8" s="11">
        <v>25</v>
      </c>
      <c r="H8" s="11">
        <v>60</v>
      </c>
      <c r="I8" s="11">
        <v>60</v>
      </c>
      <c r="J8" s="11">
        <v>1.45</v>
      </c>
      <c r="K8" s="13" t="s">
        <v>16</v>
      </c>
    </row>
    <row r="9" spans="1:11" ht="22.5">
      <c r="A9" s="8">
        <v>10</v>
      </c>
      <c r="B9" s="9" t="s">
        <v>13</v>
      </c>
      <c r="C9" s="4" t="str">
        <f t="shared" si="0"/>
        <v>비드법보온판1종3호</v>
      </c>
      <c r="D9" s="10" t="s">
        <v>19</v>
      </c>
      <c r="E9" s="14" t="s">
        <v>20</v>
      </c>
      <c r="F9" s="12">
        <v>0.04</v>
      </c>
      <c r="G9" s="11">
        <v>20</v>
      </c>
      <c r="H9" s="11">
        <v>60</v>
      </c>
      <c r="I9" s="11">
        <v>60</v>
      </c>
      <c r="J9" s="11">
        <v>1.45</v>
      </c>
      <c r="K9" s="13" t="s">
        <v>16</v>
      </c>
    </row>
    <row r="10" spans="1:11" ht="22.5">
      <c r="A10" s="8">
        <v>11</v>
      </c>
      <c r="B10" s="9" t="s">
        <v>13</v>
      </c>
      <c r="C10" s="4" t="str">
        <f t="shared" si="0"/>
        <v>비드법보온판1종4호</v>
      </c>
      <c r="D10" s="10" t="s">
        <v>21</v>
      </c>
      <c r="E10" s="11" t="s">
        <v>20</v>
      </c>
      <c r="F10" s="12">
        <v>4.2999999999999997E-2</v>
      </c>
      <c r="G10" s="11">
        <v>15</v>
      </c>
      <c r="H10" s="11">
        <v>60</v>
      </c>
      <c r="I10" s="11">
        <v>60</v>
      </c>
      <c r="J10" s="11">
        <v>1.45</v>
      </c>
      <c r="K10" s="13" t="s">
        <v>16</v>
      </c>
    </row>
    <row r="11" spans="1:11" ht="22.5">
      <c r="A11" s="8">
        <v>12</v>
      </c>
      <c r="B11" s="9" t="s">
        <v>13</v>
      </c>
      <c r="C11" s="4" t="str">
        <f t="shared" si="0"/>
        <v>비드법보온판2종1호</v>
      </c>
      <c r="D11" s="10" t="s">
        <v>17</v>
      </c>
      <c r="E11" s="11" t="s">
        <v>22</v>
      </c>
      <c r="F11" s="12">
        <v>3.1E-2</v>
      </c>
      <c r="G11" s="11">
        <v>30</v>
      </c>
      <c r="H11" s="11">
        <v>60</v>
      </c>
      <c r="I11" s="11">
        <v>60</v>
      </c>
      <c r="J11" s="11">
        <v>1.45</v>
      </c>
      <c r="K11" s="13" t="s">
        <v>16</v>
      </c>
    </row>
    <row r="12" spans="1:11" ht="22.5">
      <c r="A12" s="8">
        <v>13</v>
      </c>
      <c r="B12" s="9" t="s">
        <v>13</v>
      </c>
      <c r="C12" s="4" t="str">
        <f t="shared" si="0"/>
        <v>비드법보온판2종2호</v>
      </c>
      <c r="D12" s="10" t="s">
        <v>18</v>
      </c>
      <c r="E12" s="11" t="s">
        <v>22</v>
      </c>
      <c r="F12" s="12">
        <v>3.2000000000000001E-2</v>
      </c>
      <c r="G12" s="11">
        <v>25</v>
      </c>
      <c r="H12" s="11">
        <v>60</v>
      </c>
      <c r="I12" s="11">
        <v>60</v>
      </c>
      <c r="J12" s="11">
        <v>1.45</v>
      </c>
      <c r="K12" s="13" t="s">
        <v>16</v>
      </c>
    </row>
    <row r="13" spans="1:11" ht="22.5">
      <c r="A13" s="8">
        <v>14</v>
      </c>
      <c r="B13" s="9" t="s">
        <v>13</v>
      </c>
      <c r="C13" s="4" t="str">
        <f t="shared" si="0"/>
        <v>비드법보온판2종3호</v>
      </c>
      <c r="D13" s="10" t="s">
        <v>19</v>
      </c>
      <c r="E13" s="11" t="s">
        <v>22</v>
      </c>
      <c r="F13" s="12">
        <v>3.3000000000000002E-2</v>
      </c>
      <c r="G13" s="11">
        <v>20</v>
      </c>
      <c r="H13" s="11">
        <v>60</v>
      </c>
      <c r="I13" s="11">
        <v>60</v>
      </c>
      <c r="J13" s="11">
        <v>1.45</v>
      </c>
      <c r="K13" s="13" t="s">
        <v>16</v>
      </c>
    </row>
    <row r="14" spans="1:11" ht="22.5">
      <c r="A14" s="8">
        <v>15</v>
      </c>
      <c r="B14" s="9" t="s">
        <v>13</v>
      </c>
      <c r="C14" s="4" t="str">
        <f t="shared" si="0"/>
        <v>비드법보온판2종4호</v>
      </c>
      <c r="D14" s="10" t="s">
        <v>21</v>
      </c>
      <c r="E14" s="11" t="s">
        <v>22</v>
      </c>
      <c r="F14" s="12">
        <v>3.4000000000000002E-2</v>
      </c>
      <c r="G14" s="11">
        <v>15</v>
      </c>
      <c r="H14" s="11">
        <v>60</v>
      </c>
      <c r="I14" s="11">
        <v>60</v>
      </c>
      <c r="J14" s="11">
        <v>1.45</v>
      </c>
      <c r="K14" s="13" t="s">
        <v>16</v>
      </c>
    </row>
    <row r="15" spans="1:11" ht="22.5">
      <c r="A15" s="8">
        <v>16</v>
      </c>
      <c r="B15" s="9" t="s">
        <v>13</v>
      </c>
      <c r="C15" s="4" t="str">
        <f t="shared" si="0"/>
        <v>경질우레탄폼보온판1종1호</v>
      </c>
      <c r="D15" s="10" t="s">
        <v>17</v>
      </c>
      <c r="E15" s="11" t="s">
        <v>23</v>
      </c>
      <c r="F15" s="12">
        <v>2.4E-2</v>
      </c>
      <c r="G15" s="11">
        <v>45</v>
      </c>
      <c r="H15" s="11">
        <v>60</v>
      </c>
      <c r="I15" s="11">
        <v>60</v>
      </c>
      <c r="J15" s="11">
        <v>1.4</v>
      </c>
      <c r="K15" s="13" t="s">
        <v>16</v>
      </c>
    </row>
    <row r="16" spans="1:11" ht="22.5">
      <c r="A16" s="8">
        <v>17</v>
      </c>
      <c r="B16" s="9" t="s">
        <v>13</v>
      </c>
      <c r="C16" s="4" t="str">
        <f t="shared" si="0"/>
        <v>경질우레탄폼보온판1종2호</v>
      </c>
      <c r="D16" s="10" t="s">
        <v>18</v>
      </c>
      <c r="E16" s="11" t="s">
        <v>23</v>
      </c>
      <c r="F16" s="12">
        <v>2.4E-2</v>
      </c>
      <c r="G16" s="11">
        <v>35</v>
      </c>
      <c r="H16" s="11">
        <v>60</v>
      </c>
      <c r="I16" s="11">
        <v>60</v>
      </c>
      <c r="J16" s="11">
        <v>1.4</v>
      </c>
      <c r="K16" s="13" t="s">
        <v>16</v>
      </c>
    </row>
    <row r="17" spans="1:11" ht="22.5">
      <c r="A17" s="8">
        <v>18</v>
      </c>
      <c r="B17" s="9" t="s">
        <v>13</v>
      </c>
      <c r="C17" s="4" t="str">
        <f t="shared" si="0"/>
        <v>경질우레탄폼보온판1종3호</v>
      </c>
      <c r="D17" s="10" t="s">
        <v>19</v>
      </c>
      <c r="E17" s="11" t="s">
        <v>23</v>
      </c>
      <c r="F17" s="12">
        <v>2.5999999999999999E-2</v>
      </c>
      <c r="G17" s="11">
        <v>25</v>
      </c>
      <c r="H17" s="11">
        <v>60</v>
      </c>
      <c r="I17" s="11">
        <v>60</v>
      </c>
      <c r="J17" s="11">
        <v>1.4</v>
      </c>
      <c r="K17" s="13" t="s">
        <v>16</v>
      </c>
    </row>
    <row r="18" spans="1:11" ht="22.5">
      <c r="A18" s="8">
        <v>19</v>
      </c>
      <c r="B18" s="9" t="s">
        <v>13</v>
      </c>
      <c r="C18" s="4" t="str">
        <f t="shared" si="0"/>
        <v>경질우레탄폼보온판2종1호</v>
      </c>
      <c r="D18" s="10" t="s">
        <v>17</v>
      </c>
      <c r="E18" s="11" t="s">
        <v>24</v>
      </c>
      <c r="F18" s="12">
        <v>2.3E-2</v>
      </c>
      <c r="G18" s="11">
        <v>45</v>
      </c>
      <c r="H18" s="11">
        <v>60</v>
      </c>
      <c r="I18" s="11">
        <v>60</v>
      </c>
      <c r="J18" s="11">
        <v>1.4</v>
      </c>
      <c r="K18" s="13" t="s">
        <v>16</v>
      </c>
    </row>
    <row r="19" spans="1:11" ht="22.5">
      <c r="A19" s="8">
        <v>20</v>
      </c>
      <c r="B19" s="9" t="s">
        <v>13</v>
      </c>
      <c r="C19" s="4" t="str">
        <f t="shared" si="0"/>
        <v>경질우레탄폼보온판2종2호</v>
      </c>
      <c r="D19" s="10" t="s">
        <v>18</v>
      </c>
      <c r="E19" s="11" t="s">
        <v>24</v>
      </c>
      <c r="F19" s="12">
        <v>2.3E-2</v>
      </c>
      <c r="G19" s="11">
        <v>35</v>
      </c>
      <c r="H19" s="11">
        <v>60</v>
      </c>
      <c r="I19" s="11">
        <v>60</v>
      </c>
      <c r="J19" s="11">
        <v>1.4</v>
      </c>
      <c r="K19" s="13" t="s">
        <v>16</v>
      </c>
    </row>
    <row r="20" spans="1:11" ht="22.5">
      <c r="A20" s="8">
        <v>21</v>
      </c>
      <c r="B20" s="9" t="s">
        <v>13</v>
      </c>
      <c r="C20" s="4" t="str">
        <f t="shared" si="0"/>
        <v>경질우레탄폼보온판2종3호</v>
      </c>
      <c r="D20" s="10" t="s">
        <v>19</v>
      </c>
      <c r="E20" s="11" t="s">
        <v>24</v>
      </c>
      <c r="F20" s="12">
        <v>2.8000000000000001E-2</v>
      </c>
      <c r="G20" s="11">
        <v>25</v>
      </c>
      <c r="H20" s="11">
        <v>60</v>
      </c>
      <c r="I20" s="11">
        <v>60</v>
      </c>
      <c r="J20" s="11">
        <v>1.4</v>
      </c>
      <c r="K20" s="13" t="s">
        <v>16</v>
      </c>
    </row>
    <row r="21" spans="1:11" ht="22.5">
      <c r="A21" s="8">
        <v>22</v>
      </c>
      <c r="B21" s="9" t="s">
        <v>13</v>
      </c>
      <c r="C21" s="4" t="str">
        <f t="shared" si="0"/>
        <v>미네랄울(암면)펠트</v>
      </c>
      <c r="D21" s="10" t="s">
        <v>25</v>
      </c>
      <c r="E21" s="11" t="s">
        <v>26</v>
      </c>
      <c r="F21" s="12">
        <v>3.7999999999999999E-2</v>
      </c>
      <c r="G21" s="11" t="s">
        <v>27</v>
      </c>
      <c r="H21" s="11">
        <v>1</v>
      </c>
      <c r="I21" s="11">
        <v>1</v>
      </c>
      <c r="J21" s="11">
        <v>1.03</v>
      </c>
      <c r="K21" s="13" t="s">
        <v>16</v>
      </c>
    </row>
    <row r="22" spans="1:11" ht="22.5">
      <c r="A22" s="8">
        <v>23</v>
      </c>
      <c r="B22" s="9" t="s">
        <v>13</v>
      </c>
      <c r="C22" s="4" t="str">
        <f t="shared" si="0"/>
        <v>미네랄울(암면)1호</v>
      </c>
      <c r="D22" s="10" t="s">
        <v>17</v>
      </c>
      <c r="E22" s="11" t="s">
        <v>26</v>
      </c>
      <c r="F22" s="12">
        <v>3.6999999999999998E-2</v>
      </c>
      <c r="G22" s="11" t="s">
        <v>28</v>
      </c>
      <c r="H22" s="11">
        <v>1</v>
      </c>
      <c r="I22" s="11">
        <v>1</v>
      </c>
      <c r="J22" s="11">
        <v>1.03</v>
      </c>
      <c r="K22" s="13" t="s">
        <v>16</v>
      </c>
    </row>
    <row r="23" spans="1:11" ht="22.5">
      <c r="A23" s="8">
        <v>24</v>
      </c>
      <c r="B23" s="9" t="s">
        <v>13</v>
      </c>
      <c r="C23" s="4" t="str">
        <f t="shared" si="0"/>
        <v>미네랄울(암면)2호</v>
      </c>
      <c r="D23" s="10" t="s">
        <v>18</v>
      </c>
      <c r="E23" s="11" t="s">
        <v>26</v>
      </c>
      <c r="F23" s="12">
        <v>3.5999999999999997E-2</v>
      </c>
      <c r="G23" s="11" t="s">
        <v>29</v>
      </c>
      <c r="H23" s="11">
        <v>1</v>
      </c>
      <c r="I23" s="11">
        <v>1</v>
      </c>
      <c r="J23" s="11">
        <v>1.03</v>
      </c>
      <c r="K23" s="13" t="s">
        <v>16</v>
      </c>
    </row>
    <row r="24" spans="1:11" ht="22.5">
      <c r="A24" s="8">
        <v>25</v>
      </c>
      <c r="B24" s="9" t="s">
        <v>13</v>
      </c>
      <c r="C24" s="4" t="str">
        <f t="shared" si="0"/>
        <v>미네랄울(암면)3호</v>
      </c>
      <c r="D24" s="10" t="s">
        <v>19</v>
      </c>
      <c r="E24" s="11" t="s">
        <v>26</v>
      </c>
      <c r="F24" s="12">
        <v>3.7999999999999999E-2</v>
      </c>
      <c r="G24" s="11" t="s">
        <v>30</v>
      </c>
      <c r="H24" s="11">
        <v>1</v>
      </c>
      <c r="I24" s="11">
        <v>1</v>
      </c>
      <c r="J24" s="11">
        <v>1.03</v>
      </c>
      <c r="K24" s="13" t="s">
        <v>16</v>
      </c>
    </row>
    <row r="25" spans="1:11" ht="22.5">
      <c r="A25" s="8">
        <v>26</v>
      </c>
      <c r="B25" s="9" t="s">
        <v>13</v>
      </c>
      <c r="C25" s="4" t="str">
        <f t="shared" si="0"/>
        <v>글라스울64K</v>
      </c>
      <c r="D25" s="10" t="s">
        <v>31</v>
      </c>
      <c r="E25" s="11" t="s">
        <v>32</v>
      </c>
      <c r="F25" s="12">
        <v>3.5000000000000003E-2</v>
      </c>
      <c r="G25" s="11">
        <v>64</v>
      </c>
      <c r="H25" s="11">
        <v>1</v>
      </c>
      <c r="I25" s="11">
        <v>1</v>
      </c>
      <c r="J25" s="11">
        <v>1.03</v>
      </c>
      <c r="K25" s="13" t="s">
        <v>16</v>
      </c>
    </row>
    <row r="26" spans="1:11" ht="22.5">
      <c r="A26" s="8">
        <v>27</v>
      </c>
      <c r="B26" s="9" t="s">
        <v>13</v>
      </c>
      <c r="C26" s="4" t="str">
        <f t="shared" si="0"/>
        <v>글라스울48K</v>
      </c>
      <c r="D26" s="10" t="s">
        <v>33</v>
      </c>
      <c r="E26" s="11" t="s">
        <v>32</v>
      </c>
      <c r="F26" s="12">
        <v>3.5999999999999997E-2</v>
      </c>
      <c r="G26" s="11">
        <v>48</v>
      </c>
      <c r="H26" s="11">
        <v>1</v>
      </c>
      <c r="I26" s="11">
        <v>1</v>
      </c>
      <c r="J26" s="11">
        <v>1.03</v>
      </c>
      <c r="K26" s="13" t="s">
        <v>16</v>
      </c>
    </row>
    <row r="27" spans="1:11" ht="22.5">
      <c r="A27" s="8">
        <v>28</v>
      </c>
      <c r="B27" s="9" t="s">
        <v>13</v>
      </c>
      <c r="C27" s="4" t="str">
        <f t="shared" si="0"/>
        <v>글라스울32K</v>
      </c>
      <c r="D27" s="10" t="s">
        <v>34</v>
      </c>
      <c r="E27" s="11" t="s">
        <v>32</v>
      </c>
      <c r="F27" s="12">
        <v>3.6999999999999998E-2</v>
      </c>
      <c r="G27" s="11">
        <v>32</v>
      </c>
      <c r="H27" s="11">
        <v>1</v>
      </c>
      <c r="I27" s="11">
        <v>1</v>
      </c>
      <c r="J27" s="11">
        <v>1.03</v>
      </c>
      <c r="K27" s="13" t="s">
        <v>16</v>
      </c>
    </row>
    <row r="28" spans="1:11" ht="22.5">
      <c r="A28" s="8">
        <v>29</v>
      </c>
      <c r="B28" s="9" t="s">
        <v>13</v>
      </c>
      <c r="C28" s="4" t="str">
        <f t="shared" si="0"/>
        <v>글라스울24K</v>
      </c>
      <c r="D28" s="10" t="s">
        <v>35</v>
      </c>
      <c r="E28" s="11" t="s">
        <v>32</v>
      </c>
      <c r="F28" s="12">
        <v>3.7999999999999999E-2</v>
      </c>
      <c r="G28" s="11">
        <v>24</v>
      </c>
      <c r="H28" s="11">
        <v>1</v>
      </c>
      <c r="I28" s="11">
        <v>1</v>
      </c>
      <c r="J28" s="11">
        <v>1.03</v>
      </c>
      <c r="K28" s="13" t="s">
        <v>16</v>
      </c>
    </row>
    <row r="29" spans="1:11" ht="22.5">
      <c r="A29" s="8">
        <v>30</v>
      </c>
      <c r="B29" s="9" t="s">
        <v>13</v>
      </c>
      <c r="C29" s="4" t="str">
        <f t="shared" si="0"/>
        <v>글라스울20K</v>
      </c>
      <c r="D29" s="10" t="s">
        <v>36</v>
      </c>
      <c r="E29" s="11" t="s">
        <v>32</v>
      </c>
      <c r="F29" s="12">
        <v>0.04</v>
      </c>
      <c r="G29" s="11">
        <v>20</v>
      </c>
      <c r="H29" s="11">
        <v>1</v>
      </c>
      <c r="I29" s="11">
        <v>1</v>
      </c>
      <c r="J29" s="11">
        <v>1.03</v>
      </c>
      <c r="K29" s="13" t="s">
        <v>16</v>
      </c>
    </row>
    <row r="30" spans="1:11">
      <c r="A30" s="8">
        <v>31</v>
      </c>
      <c r="B30" s="9" t="s">
        <v>13</v>
      </c>
      <c r="C30" s="4" t="str">
        <f t="shared" si="0"/>
        <v>에어로겔</v>
      </c>
      <c r="D30" s="10" t="s">
        <v>11</v>
      </c>
      <c r="E30" s="11" t="s">
        <v>37</v>
      </c>
      <c r="F30" s="12">
        <v>2.1000000000000001E-2</v>
      </c>
      <c r="G30" s="11">
        <v>90</v>
      </c>
      <c r="H30" s="11">
        <v>2</v>
      </c>
      <c r="I30" s="11">
        <v>2</v>
      </c>
      <c r="J30" s="11" t="s">
        <v>11</v>
      </c>
      <c r="K30" s="13" t="s">
        <v>38</v>
      </c>
    </row>
    <row r="31" spans="1:11" ht="22.5">
      <c r="A31" s="8">
        <v>32</v>
      </c>
      <c r="B31" s="9" t="s">
        <v>13</v>
      </c>
      <c r="C31" s="4" t="str">
        <f t="shared" si="0"/>
        <v>수성연질스프레이</v>
      </c>
      <c r="D31" s="10" t="s">
        <v>11</v>
      </c>
      <c r="E31" s="11" t="s">
        <v>39</v>
      </c>
      <c r="F31" s="12">
        <v>0.04</v>
      </c>
      <c r="G31" s="11"/>
      <c r="H31" s="11"/>
      <c r="I31" s="11"/>
      <c r="J31" s="11"/>
      <c r="K31" s="13" t="s">
        <v>38</v>
      </c>
    </row>
    <row r="32" spans="1:11" ht="22.5">
      <c r="A32" s="8">
        <v>33</v>
      </c>
      <c r="B32" s="9" t="s">
        <v>13</v>
      </c>
      <c r="C32" s="4" t="str">
        <f t="shared" si="0"/>
        <v>경질연질스프레이</v>
      </c>
      <c r="D32" s="10" t="s">
        <v>11</v>
      </c>
      <c r="E32" s="11" t="s">
        <v>40</v>
      </c>
      <c r="F32" s="12">
        <v>2.9000000000000001E-2</v>
      </c>
      <c r="G32" s="11" t="s">
        <v>41</v>
      </c>
      <c r="H32" s="11">
        <v>60</v>
      </c>
      <c r="I32" s="11">
        <v>60</v>
      </c>
      <c r="J32" s="11">
        <v>1.4</v>
      </c>
      <c r="K32" s="13" t="s">
        <v>42</v>
      </c>
    </row>
    <row r="33" spans="1:11">
      <c r="A33" s="8">
        <v>34</v>
      </c>
      <c r="B33" s="9" t="s">
        <v>13</v>
      </c>
      <c r="C33" s="4" t="str">
        <f t="shared" si="0"/>
        <v>페놀보드</v>
      </c>
      <c r="D33" s="10" t="s">
        <v>43</v>
      </c>
      <c r="E33" s="11" t="s">
        <v>44</v>
      </c>
      <c r="F33" s="12">
        <v>2.5000000000000001E-2</v>
      </c>
      <c r="G33" s="11" t="s">
        <v>45</v>
      </c>
      <c r="H33" s="11">
        <v>50</v>
      </c>
      <c r="I33" s="11">
        <v>50</v>
      </c>
      <c r="J33" s="11">
        <v>1.4</v>
      </c>
      <c r="K33" s="13" t="s">
        <v>42</v>
      </c>
    </row>
    <row r="34" spans="1:11" ht="22.5">
      <c r="A34" s="8">
        <v>35</v>
      </c>
      <c r="B34" s="9" t="s">
        <v>13</v>
      </c>
      <c r="C34" s="4" t="str">
        <f t="shared" si="0"/>
        <v>난연경질우레탄폼스프레이</v>
      </c>
      <c r="D34" s="15" t="s">
        <v>11</v>
      </c>
      <c r="E34" s="33" t="s">
        <v>46</v>
      </c>
      <c r="F34" s="34">
        <v>2.4E-2</v>
      </c>
      <c r="G34" s="11">
        <v>60</v>
      </c>
      <c r="H34" s="11">
        <v>2</v>
      </c>
      <c r="I34" s="11">
        <v>2</v>
      </c>
      <c r="J34" s="11">
        <v>1.6</v>
      </c>
      <c r="K34" s="13" t="s">
        <v>42</v>
      </c>
    </row>
    <row r="35" spans="1:11">
      <c r="A35" s="8">
        <v>36</v>
      </c>
      <c r="B35" s="9" t="s">
        <v>13</v>
      </c>
      <c r="C35" s="4" t="str">
        <f t="shared" si="0"/>
        <v>진공단열재</v>
      </c>
      <c r="D35" s="15" t="s">
        <v>11</v>
      </c>
      <c r="E35" s="33" t="s">
        <v>47</v>
      </c>
      <c r="F35" s="34">
        <v>2E-3</v>
      </c>
      <c r="G35" s="11">
        <v>205</v>
      </c>
      <c r="H35" s="11">
        <v>100000</v>
      </c>
      <c r="I35" s="11">
        <v>100000</v>
      </c>
      <c r="J35" s="11">
        <v>0.9</v>
      </c>
      <c r="K35" s="13" t="s">
        <v>48</v>
      </c>
    </row>
    <row r="36" spans="1:11">
      <c r="A36" s="8">
        <v>37</v>
      </c>
      <c r="B36" s="9" t="s">
        <v>13</v>
      </c>
      <c r="C36" s="4" t="str">
        <f t="shared" si="0"/>
        <v>펄라이트보드</v>
      </c>
      <c r="D36" s="10" t="s">
        <v>43</v>
      </c>
      <c r="E36" s="11" t="s">
        <v>49</v>
      </c>
      <c r="F36" s="12">
        <v>0.05</v>
      </c>
      <c r="G36" s="11">
        <v>90</v>
      </c>
      <c r="H36" s="11">
        <v>5</v>
      </c>
      <c r="I36" s="11">
        <v>5</v>
      </c>
      <c r="J36" s="11">
        <v>0.9</v>
      </c>
      <c r="K36" s="13" t="s">
        <v>42</v>
      </c>
    </row>
    <row r="37" spans="1:11">
      <c r="A37" s="8">
        <v>38</v>
      </c>
      <c r="B37" s="9" t="s">
        <v>13</v>
      </c>
      <c r="C37" s="4" t="str">
        <f t="shared" si="0"/>
        <v>목섬유고밀도</v>
      </c>
      <c r="D37" s="10" t="s">
        <v>50</v>
      </c>
      <c r="E37" s="11" t="s">
        <v>51</v>
      </c>
      <c r="F37" s="12">
        <v>0.04</v>
      </c>
      <c r="G37" s="11">
        <v>55</v>
      </c>
      <c r="H37" s="11">
        <v>5</v>
      </c>
      <c r="I37" s="11">
        <v>3</v>
      </c>
      <c r="J37" s="11">
        <v>2</v>
      </c>
      <c r="K37" s="13" t="s">
        <v>42</v>
      </c>
    </row>
    <row r="38" spans="1:11">
      <c r="A38" s="8">
        <v>39</v>
      </c>
      <c r="B38" s="9" t="s">
        <v>13</v>
      </c>
      <c r="C38" s="4" t="str">
        <f t="shared" si="0"/>
        <v>목섬유저밀도</v>
      </c>
      <c r="D38" s="10" t="s">
        <v>52</v>
      </c>
      <c r="E38" s="11" t="s">
        <v>51</v>
      </c>
      <c r="F38" s="12">
        <v>4.4999999999999998E-2</v>
      </c>
      <c r="G38" s="11">
        <v>160</v>
      </c>
      <c r="H38" s="11">
        <v>5</v>
      </c>
      <c r="I38" s="11">
        <v>3</v>
      </c>
      <c r="J38" s="11">
        <v>2</v>
      </c>
      <c r="K38" s="13" t="s">
        <v>42</v>
      </c>
    </row>
    <row r="39" spans="1:11">
      <c r="A39" s="8">
        <v>40</v>
      </c>
      <c r="B39" s="9" t="s">
        <v>13</v>
      </c>
      <c r="C39" s="4" t="str">
        <f t="shared" si="0"/>
        <v>스트로벨</v>
      </c>
      <c r="D39" s="10" t="s">
        <v>11</v>
      </c>
      <c r="E39" s="11" t="s">
        <v>53</v>
      </c>
      <c r="F39" s="12">
        <v>0.06</v>
      </c>
      <c r="G39" s="11">
        <v>100</v>
      </c>
      <c r="H39" s="11">
        <v>2</v>
      </c>
      <c r="I39" s="11">
        <v>2</v>
      </c>
      <c r="J39" s="11">
        <v>2.1</v>
      </c>
      <c r="K39" s="13" t="s">
        <v>48</v>
      </c>
    </row>
    <row r="40" spans="1:11">
      <c r="A40" s="8">
        <v>41</v>
      </c>
      <c r="B40" s="9" t="s">
        <v>13</v>
      </c>
      <c r="C40" s="4" t="str">
        <f t="shared" si="0"/>
        <v>유리발포</v>
      </c>
      <c r="D40" s="10" t="s">
        <v>11</v>
      </c>
      <c r="E40" s="11" t="s">
        <v>54</v>
      </c>
      <c r="F40" s="12">
        <v>0.04</v>
      </c>
      <c r="G40" s="11">
        <v>120</v>
      </c>
      <c r="H40" s="11">
        <v>100000</v>
      </c>
      <c r="I40" s="11">
        <v>100000</v>
      </c>
      <c r="J40" s="11">
        <v>0.84</v>
      </c>
      <c r="K40" s="13" t="s">
        <v>48</v>
      </c>
    </row>
    <row r="41" spans="1:11" ht="22.5">
      <c r="A41" s="8">
        <v>42</v>
      </c>
      <c r="B41" s="16" t="s">
        <v>55</v>
      </c>
      <c r="C41" s="4" t="str">
        <f t="shared" si="0"/>
        <v>철근콘크리트St.1%</v>
      </c>
      <c r="D41" s="10" t="s">
        <v>56</v>
      </c>
      <c r="E41" s="11" t="s">
        <v>57</v>
      </c>
      <c r="F41" s="12">
        <v>2.2999999999999998</v>
      </c>
      <c r="G41" s="11">
        <v>2300</v>
      </c>
      <c r="H41" s="11">
        <v>130</v>
      </c>
      <c r="I41" s="11">
        <v>80</v>
      </c>
      <c r="J41" s="11">
        <v>1</v>
      </c>
      <c r="K41" s="13" t="s">
        <v>42</v>
      </c>
    </row>
    <row r="42" spans="1:11" ht="22.5">
      <c r="A42" s="8">
        <v>43</v>
      </c>
      <c r="B42" s="16" t="s">
        <v>55</v>
      </c>
      <c r="C42" s="4" t="str">
        <f t="shared" si="0"/>
        <v>철근콘크리트St.2%</v>
      </c>
      <c r="D42" s="10" t="s">
        <v>58</v>
      </c>
      <c r="E42" s="11" t="s">
        <v>57</v>
      </c>
      <c r="F42" s="12">
        <v>2.5</v>
      </c>
      <c r="G42" s="11">
        <v>2400</v>
      </c>
      <c r="H42" s="11">
        <v>130</v>
      </c>
      <c r="I42" s="11">
        <v>80</v>
      </c>
      <c r="J42" s="11">
        <v>1</v>
      </c>
      <c r="K42" s="13" t="s">
        <v>42</v>
      </c>
    </row>
    <row r="43" spans="1:11" ht="22.5">
      <c r="A43" s="8">
        <v>44</v>
      </c>
      <c r="B43" s="16" t="s">
        <v>55</v>
      </c>
      <c r="C43" s="4" t="str">
        <f t="shared" si="0"/>
        <v>고강도콘크리트</v>
      </c>
      <c r="D43" s="10" t="s">
        <v>11</v>
      </c>
      <c r="E43" s="11" t="s">
        <v>59</v>
      </c>
      <c r="F43" s="12">
        <v>2</v>
      </c>
      <c r="G43" s="11">
        <v>2400</v>
      </c>
      <c r="H43" s="11">
        <v>130</v>
      </c>
      <c r="I43" s="11">
        <v>80</v>
      </c>
      <c r="J43" s="11">
        <v>1</v>
      </c>
      <c r="K43" s="13" t="s">
        <v>42</v>
      </c>
    </row>
    <row r="44" spans="1:11" ht="22.5">
      <c r="A44" s="8">
        <v>45</v>
      </c>
      <c r="B44" s="16" t="s">
        <v>55</v>
      </c>
      <c r="C44" s="4" t="str">
        <f t="shared" si="0"/>
        <v>콘크리트(1:2:4)</v>
      </c>
      <c r="D44" s="10" t="s">
        <v>11</v>
      </c>
      <c r="E44" s="11" t="s">
        <v>60</v>
      </c>
      <c r="F44" s="12">
        <v>1.6</v>
      </c>
      <c r="G44" s="11">
        <v>2200</v>
      </c>
      <c r="H44" s="11">
        <v>120</v>
      </c>
      <c r="I44" s="11">
        <v>70</v>
      </c>
      <c r="J44" s="11">
        <v>1</v>
      </c>
      <c r="K44" s="13" t="s">
        <v>16</v>
      </c>
    </row>
    <row r="45" spans="1:11">
      <c r="A45" s="8">
        <v>46</v>
      </c>
      <c r="B45" s="16" t="s">
        <v>55</v>
      </c>
      <c r="C45" s="4" t="str">
        <f t="shared" si="0"/>
        <v>콘크리트</v>
      </c>
      <c r="D45" s="10" t="s">
        <v>11</v>
      </c>
      <c r="E45" s="11" t="s">
        <v>55</v>
      </c>
      <c r="F45" s="12">
        <v>1.4</v>
      </c>
      <c r="G45" s="11">
        <v>2000</v>
      </c>
      <c r="H45" s="11">
        <v>100</v>
      </c>
      <c r="I45" s="11">
        <v>60</v>
      </c>
      <c r="J45" s="11">
        <v>1</v>
      </c>
      <c r="K45" s="13" t="s">
        <v>42</v>
      </c>
    </row>
    <row r="46" spans="1:11">
      <c r="A46" s="8">
        <v>47</v>
      </c>
      <c r="B46" s="16" t="s">
        <v>55</v>
      </c>
      <c r="C46" s="4" t="str">
        <f t="shared" si="0"/>
        <v>경량콘크리트</v>
      </c>
      <c r="D46" s="10" t="s">
        <v>11</v>
      </c>
      <c r="E46" s="11" t="s">
        <v>61</v>
      </c>
      <c r="F46" s="12">
        <v>1.2</v>
      </c>
      <c r="G46" s="11">
        <v>1800</v>
      </c>
      <c r="H46" s="11">
        <v>100</v>
      </c>
      <c r="I46" s="11">
        <v>60</v>
      </c>
      <c r="J46" s="11">
        <v>1</v>
      </c>
      <c r="K46" s="13" t="s">
        <v>42</v>
      </c>
    </row>
    <row r="47" spans="1:11" ht="22.5">
      <c r="A47" s="8">
        <v>48</v>
      </c>
      <c r="B47" s="16" t="s">
        <v>55</v>
      </c>
      <c r="C47" s="4" t="str">
        <f t="shared" si="0"/>
        <v>기포콘크리트0.4폼</v>
      </c>
      <c r="D47" s="10" t="s">
        <v>62</v>
      </c>
      <c r="E47" s="11" t="s">
        <v>63</v>
      </c>
      <c r="F47" s="12">
        <v>0.13</v>
      </c>
      <c r="G47" s="11">
        <v>400</v>
      </c>
      <c r="H47" s="11">
        <v>10</v>
      </c>
      <c r="I47" s="11">
        <v>6</v>
      </c>
      <c r="J47" s="11">
        <v>1</v>
      </c>
      <c r="K47" s="13" t="s">
        <v>16</v>
      </c>
    </row>
    <row r="48" spans="1:11" ht="22.5">
      <c r="A48" s="8">
        <v>49</v>
      </c>
      <c r="B48" s="16" t="s">
        <v>55</v>
      </c>
      <c r="C48" s="4" t="str">
        <f t="shared" si="0"/>
        <v>기포콘크리트0.5폼</v>
      </c>
      <c r="D48" s="10" t="s">
        <v>64</v>
      </c>
      <c r="E48" s="11" t="s">
        <v>63</v>
      </c>
      <c r="F48" s="12">
        <v>0.16</v>
      </c>
      <c r="G48" s="11">
        <v>500</v>
      </c>
      <c r="H48" s="11">
        <v>10</v>
      </c>
      <c r="I48" s="11">
        <v>6</v>
      </c>
      <c r="J48" s="11">
        <v>1</v>
      </c>
      <c r="K48" s="13" t="s">
        <v>16</v>
      </c>
    </row>
    <row r="49" spans="1:11" ht="22.5">
      <c r="A49" s="8">
        <v>50</v>
      </c>
      <c r="B49" s="16" t="s">
        <v>55</v>
      </c>
      <c r="C49" s="4" t="str">
        <f t="shared" si="0"/>
        <v>기포콘크리트0.6폼</v>
      </c>
      <c r="D49" s="10" t="s">
        <v>65</v>
      </c>
      <c r="E49" s="11" t="s">
        <v>63</v>
      </c>
      <c r="F49" s="12">
        <v>0.19</v>
      </c>
      <c r="G49" s="11">
        <v>600</v>
      </c>
      <c r="H49" s="11">
        <v>10</v>
      </c>
      <c r="I49" s="11">
        <v>6</v>
      </c>
      <c r="J49" s="11">
        <v>1</v>
      </c>
      <c r="K49" s="13" t="s">
        <v>16</v>
      </c>
    </row>
    <row r="50" spans="1:11" ht="22.5">
      <c r="A50" s="8">
        <v>51</v>
      </c>
      <c r="B50" s="16" t="s">
        <v>55</v>
      </c>
      <c r="C50" s="4" t="str">
        <f t="shared" si="0"/>
        <v>혼합콘크리트Polystyrol(고)</v>
      </c>
      <c r="D50" s="10" t="s">
        <v>66</v>
      </c>
      <c r="E50" s="11" t="s">
        <v>67</v>
      </c>
      <c r="F50" s="12">
        <v>0.22</v>
      </c>
      <c r="G50" s="11">
        <v>600</v>
      </c>
      <c r="H50" s="11">
        <v>120</v>
      </c>
      <c r="I50" s="11">
        <v>60</v>
      </c>
      <c r="J50" s="11">
        <v>1</v>
      </c>
      <c r="K50" s="13" t="s">
        <v>68</v>
      </c>
    </row>
    <row r="51" spans="1:11" ht="22.5">
      <c r="A51" s="8">
        <v>52</v>
      </c>
      <c r="B51" s="16" t="s">
        <v>55</v>
      </c>
      <c r="C51" s="4" t="str">
        <f t="shared" si="0"/>
        <v>혼합콘크리트Polystyrol(중)</v>
      </c>
      <c r="D51" s="10" t="s">
        <v>69</v>
      </c>
      <c r="E51" s="11" t="s">
        <v>67</v>
      </c>
      <c r="F51" s="12">
        <v>0.28000000000000003</v>
      </c>
      <c r="G51" s="11">
        <v>800</v>
      </c>
      <c r="H51" s="11">
        <v>120</v>
      </c>
      <c r="I51" s="11">
        <v>60</v>
      </c>
      <c r="J51" s="11">
        <v>1</v>
      </c>
      <c r="K51" s="13" t="s">
        <v>68</v>
      </c>
    </row>
    <row r="52" spans="1:11" ht="22.5">
      <c r="A52" s="8">
        <v>53</v>
      </c>
      <c r="B52" s="16" t="s">
        <v>55</v>
      </c>
      <c r="C52" s="4" t="str">
        <f t="shared" si="0"/>
        <v>혼합콘크리트Polystyrol(저)</v>
      </c>
      <c r="D52" s="10" t="s">
        <v>70</v>
      </c>
      <c r="E52" s="11" t="s">
        <v>67</v>
      </c>
      <c r="F52" s="12">
        <v>0.46</v>
      </c>
      <c r="G52" s="11">
        <v>1200</v>
      </c>
      <c r="H52" s="11">
        <v>120</v>
      </c>
      <c r="I52" s="11">
        <v>60</v>
      </c>
      <c r="J52" s="11">
        <v>1</v>
      </c>
      <c r="K52" s="13" t="s">
        <v>68</v>
      </c>
    </row>
    <row r="53" spans="1:11" ht="22.5">
      <c r="A53" s="8">
        <v>54</v>
      </c>
      <c r="B53" s="16" t="s">
        <v>55</v>
      </c>
      <c r="C53" s="4" t="str">
        <f t="shared" si="0"/>
        <v>혼합콘크리트발포점토</v>
      </c>
      <c r="D53" s="10" t="s">
        <v>71</v>
      </c>
      <c r="E53" s="11" t="s">
        <v>67</v>
      </c>
      <c r="F53" s="12">
        <v>0.16</v>
      </c>
      <c r="G53" s="11">
        <v>500</v>
      </c>
      <c r="H53" s="11">
        <v>6</v>
      </c>
      <c r="I53" s="11">
        <v>4</v>
      </c>
      <c r="J53" s="11">
        <v>1</v>
      </c>
      <c r="K53" s="13" t="s">
        <v>42</v>
      </c>
    </row>
    <row r="54" spans="1:11" ht="22.5">
      <c r="A54" s="8">
        <v>55</v>
      </c>
      <c r="B54" s="17" t="s">
        <v>72</v>
      </c>
      <c r="C54" s="4" t="str">
        <f t="shared" si="0"/>
        <v>시멘트 몰탈(미장)</v>
      </c>
      <c r="D54" s="10" t="s">
        <v>11</v>
      </c>
      <c r="E54" s="11" t="s">
        <v>73</v>
      </c>
      <c r="F54" s="12">
        <v>1.4</v>
      </c>
      <c r="G54" s="11">
        <v>2000</v>
      </c>
      <c r="H54" s="11">
        <v>35</v>
      </c>
      <c r="I54" s="11">
        <v>15</v>
      </c>
      <c r="J54" s="11">
        <v>1</v>
      </c>
      <c r="K54" s="13" t="s">
        <v>74</v>
      </c>
    </row>
    <row r="55" spans="1:11" ht="22.5">
      <c r="A55" s="8">
        <v>56</v>
      </c>
      <c r="B55" s="17" t="s">
        <v>72</v>
      </c>
      <c r="C55" s="4" t="str">
        <f t="shared" si="0"/>
        <v>석회(시멘트)몰탈</v>
      </c>
      <c r="D55" s="10" t="s">
        <v>11</v>
      </c>
      <c r="E55" s="11" t="s">
        <v>75</v>
      </c>
      <c r="F55" s="12">
        <v>1</v>
      </c>
      <c r="G55" s="11">
        <v>1800</v>
      </c>
      <c r="H55" s="11">
        <v>35</v>
      </c>
      <c r="I55" s="11">
        <v>15</v>
      </c>
      <c r="J55" s="11">
        <v>1</v>
      </c>
      <c r="K55" s="13" t="s">
        <v>74</v>
      </c>
    </row>
    <row r="56" spans="1:11">
      <c r="A56" s="8">
        <v>57</v>
      </c>
      <c r="B56" s="17" t="s">
        <v>72</v>
      </c>
      <c r="C56" s="35" t="str">
        <f t="shared" si="0"/>
        <v>석고몰탈</v>
      </c>
      <c r="D56" s="36" t="s">
        <v>11</v>
      </c>
      <c r="E56" s="33" t="s">
        <v>76</v>
      </c>
      <c r="F56" s="34">
        <v>0.6</v>
      </c>
      <c r="G56" s="33">
        <v>1200</v>
      </c>
      <c r="H56" s="33">
        <v>10</v>
      </c>
      <c r="I56" s="33">
        <v>10</v>
      </c>
      <c r="J56" s="33">
        <v>1</v>
      </c>
      <c r="K56" s="37" t="s">
        <v>74</v>
      </c>
    </row>
    <row r="57" spans="1:11">
      <c r="A57" s="8">
        <v>58</v>
      </c>
      <c r="B57" s="17" t="s">
        <v>72</v>
      </c>
      <c r="C57" s="35" t="s">
        <v>77</v>
      </c>
      <c r="D57" s="36" t="s">
        <v>11</v>
      </c>
      <c r="E57" s="33" t="s">
        <v>77</v>
      </c>
      <c r="F57" s="34">
        <v>0.19</v>
      </c>
      <c r="G57" s="33">
        <v>1100</v>
      </c>
      <c r="H57" s="33">
        <v>200</v>
      </c>
      <c r="I57" s="33">
        <v>50</v>
      </c>
      <c r="J57" s="33">
        <v>1</v>
      </c>
      <c r="K57" s="37" t="s">
        <v>74</v>
      </c>
    </row>
    <row r="58" spans="1:11" ht="22.5">
      <c r="A58" s="8">
        <v>59</v>
      </c>
      <c r="B58" s="17" t="s">
        <v>72</v>
      </c>
      <c r="C58" s="35" t="str">
        <f t="shared" si="0"/>
        <v>시멘트단열몰탈</v>
      </c>
      <c r="D58" s="36" t="s">
        <v>11</v>
      </c>
      <c r="E58" s="33" t="s">
        <v>78</v>
      </c>
      <c r="F58" s="34">
        <v>0.1</v>
      </c>
      <c r="G58" s="33" t="s">
        <v>79</v>
      </c>
      <c r="H58" s="33">
        <v>20</v>
      </c>
      <c r="I58" s="33">
        <v>5</v>
      </c>
      <c r="J58" s="33">
        <v>1</v>
      </c>
      <c r="K58" s="37" t="s">
        <v>74</v>
      </c>
    </row>
    <row r="59" spans="1:11">
      <c r="A59" s="8">
        <v>60</v>
      </c>
      <c r="B59" s="18" t="s">
        <v>80</v>
      </c>
      <c r="C59" s="35" t="str">
        <f t="shared" si="0"/>
        <v>ALC블럭</v>
      </c>
      <c r="D59" s="36" t="s">
        <v>11</v>
      </c>
      <c r="E59" s="33" t="s">
        <v>81</v>
      </c>
      <c r="F59" s="34"/>
      <c r="G59" s="33" t="s">
        <v>82</v>
      </c>
      <c r="H59" s="33">
        <v>20</v>
      </c>
      <c r="I59" s="33">
        <v>15</v>
      </c>
      <c r="J59" s="33">
        <v>1</v>
      </c>
      <c r="K59" s="37" t="s">
        <v>42</v>
      </c>
    </row>
    <row r="60" spans="1:11" ht="22.5">
      <c r="A60" s="8">
        <v>61</v>
      </c>
      <c r="B60" s="18" t="s">
        <v>80</v>
      </c>
      <c r="C60" s="35" t="str">
        <f t="shared" si="0"/>
        <v>내화벽돌</v>
      </c>
      <c r="D60" s="36"/>
      <c r="E60" s="33" t="s">
        <v>83</v>
      </c>
      <c r="F60" s="34">
        <v>0.99</v>
      </c>
      <c r="G60" s="33" t="s">
        <v>84</v>
      </c>
      <c r="H60" s="33">
        <v>16</v>
      </c>
      <c r="I60" s="33">
        <v>10</v>
      </c>
      <c r="J60" s="33">
        <v>1</v>
      </c>
      <c r="K60" s="37" t="s">
        <v>16</v>
      </c>
    </row>
    <row r="61" spans="1:11" ht="22.5">
      <c r="A61" s="8">
        <v>62</v>
      </c>
      <c r="B61" s="18" t="s">
        <v>80</v>
      </c>
      <c r="C61" s="35" t="str">
        <f t="shared" si="0"/>
        <v>콘크리트블럭(경량)</v>
      </c>
      <c r="D61" s="36" t="s">
        <v>11</v>
      </c>
      <c r="E61" s="33" t="s">
        <v>85</v>
      </c>
      <c r="F61" s="34">
        <v>0.7</v>
      </c>
      <c r="G61" s="33">
        <v>870</v>
      </c>
      <c r="H61" s="33">
        <v>15</v>
      </c>
      <c r="I61" s="33">
        <v>5</v>
      </c>
      <c r="J61" s="33">
        <v>1</v>
      </c>
      <c r="K61" s="37" t="s">
        <v>86</v>
      </c>
    </row>
    <row r="62" spans="1:11" ht="22.5">
      <c r="A62" s="8">
        <v>63</v>
      </c>
      <c r="B62" s="18" t="s">
        <v>80</v>
      </c>
      <c r="C62" s="35" t="str">
        <f t="shared" si="0"/>
        <v>콘크리트블럭(중량)</v>
      </c>
      <c r="D62" s="36" t="s">
        <v>11</v>
      </c>
      <c r="E62" s="33" t="s">
        <v>87</v>
      </c>
      <c r="F62" s="34">
        <v>1</v>
      </c>
      <c r="G62" s="33">
        <v>1500</v>
      </c>
      <c r="H62" s="33">
        <v>15</v>
      </c>
      <c r="I62" s="33">
        <v>5</v>
      </c>
      <c r="J62" s="33">
        <v>1</v>
      </c>
      <c r="K62" s="37" t="s">
        <v>86</v>
      </c>
    </row>
    <row r="63" spans="1:11" ht="22.5">
      <c r="A63" s="8">
        <v>64</v>
      </c>
      <c r="B63" s="18" t="s">
        <v>80</v>
      </c>
      <c r="C63" s="35" t="str">
        <f t="shared" si="0"/>
        <v>시멘트벽돌</v>
      </c>
      <c r="D63" s="36" t="s">
        <v>11</v>
      </c>
      <c r="E63" s="33" t="s">
        <v>88</v>
      </c>
      <c r="F63" s="34">
        <v>0.6</v>
      </c>
      <c r="G63" s="33">
        <v>1700</v>
      </c>
      <c r="H63" s="33"/>
      <c r="I63" s="33"/>
      <c r="J63" s="33"/>
      <c r="K63" s="37" t="s">
        <v>16</v>
      </c>
    </row>
    <row r="64" spans="1:11">
      <c r="A64" s="8">
        <v>65</v>
      </c>
      <c r="B64" s="19" t="s">
        <v>89</v>
      </c>
      <c r="C64" s="35" t="str">
        <f t="shared" si="0"/>
        <v>석고보드</v>
      </c>
      <c r="D64" s="36" t="s">
        <v>11</v>
      </c>
      <c r="E64" s="33" t="s">
        <v>90</v>
      </c>
      <c r="F64" s="34">
        <v>0.18</v>
      </c>
      <c r="G64" s="33">
        <v>600</v>
      </c>
      <c r="H64" s="33">
        <v>10</v>
      </c>
      <c r="I64" s="33">
        <v>4</v>
      </c>
      <c r="J64" s="33">
        <v>1</v>
      </c>
      <c r="K64" s="37" t="s">
        <v>42</v>
      </c>
    </row>
    <row r="65" spans="1:11">
      <c r="A65" s="8">
        <v>66</v>
      </c>
      <c r="B65" s="19" t="s">
        <v>89</v>
      </c>
      <c r="C65" s="35" t="str">
        <f t="shared" si="0"/>
        <v>방수석고보드</v>
      </c>
      <c r="D65" s="36" t="s">
        <v>11</v>
      </c>
      <c r="E65" s="33" t="s">
        <v>91</v>
      </c>
      <c r="F65" s="34">
        <v>0.24</v>
      </c>
      <c r="G65" s="33">
        <v>750</v>
      </c>
      <c r="H65" s="33"/>
      <c r="I65" s="33"/>
      <c r="J65" s="33">
        <v>1</v>
      </c>
      <c r="K65" s="37" t="s">
        <v>38</v>
      </c>
    </row>
    <row r="66" spans="1:11">
      <c r="A66" s="8">
        <v>67</v>
      </c>
      <c r="B66" s="19" t="s">
        <v>89</v>
      </c>
      <c r="C66" s="4" t="str">
        <f t="shared" si="0"/>
        <v>MDF</v>
      </c>
      <c r="D66" s="10" t="s">
        <v>11</v>
      </c>
      <c r="E66" s="11" t="s">
        <v>92</v>
      </c>
      <c r="F66" s="12">
        <v>0.14000000000000001</v>
      </c>
      <c r="G66" s="11">
        <v>600</v>
      </c>
      <c r="H66" s="11">
        <v>20</v>
      </c>
      <c r="I66" s="11">
        <v>12</v>
      </c>
      <c r="J66" s="11">
        <v>1.7</v>
      </c>
      <c r="K66" s="13" t="s">
        <v>42</v>
      </c>
    </row>
    <row r="67" spans="1:11">
      <c r="A67" s="8">
        <v>68</v>
      </c>
      <c r="B67" s="19" t="s">
        <v>89</v>
      </c>
      <c r="C67" s="4" t="str">
        <f t="shared" ref="C67:C80" si="1">IF(OR(D67="-",D67=""),E67,E67&amp;D67)</f>
        <v>OSB</v>
      </c>
      <c r="D67" s="10" t="s">
        <v>11</v>
      </c>
      <c r="E67" s="11" t="s">
        <v>93</v>
      </c>
      <c r="F67" s="12">
        <v>0.13</v>
      </c>
      <c r="G67" s="11">
        <v>650</v>
      </c>
      <c r="H67" s="11">
        <v>50</v>
      </c>
      <c r="I67" s="11">
        <v>30</v>
      </c>
      <c r="J67" s="11">
        <v>1.7</v>
      </c>
      <c r="K67" s="13" t="s">
        <v>42</v>
      </c>
    </row>
    <row r="68" spans="1:11">
      <c r="A68" s="8">
        <v>69</v>
      </c>
      <c r="B68" s="19" t="s">
        <v>89</v>
      </c>
      <c r="C68" s="4" t="s">
        <v>94</v>
      </c>
      <c r="D68" s="10" t="s">
        <v>11</v>
      </c>
      <c r="E68" s="11" t="s">
        <v>94</v>
      </c>
      <c r="F68" s="12">
        <v>2.8</v>
      </c>
      <c r="G68" s="11">
        <v>500</v>
      </c>
      <c r="H68" s="11">
        <v>200</v>
      </c>
      <c r="I68" s="11">
        <v>70</v>
      </c>
      <c r="J68" s="11">
        <v>1.6</v>
      </c>
      <c r="K68" s="13" t="s">
        <v>42</v>
      </c>
    </row>
    <row r="69" spans="1:11">
      <c r="A69" s="8">
        <v>70</v>
      </c>
      <c r="B69" s="20" t="s">
        <v>95</v>
      </c>
      <c r="C69" s="4" t="str">
        <f t="shared" si="1"/>
        <v>목재(일반)</v>
      </c>
      <c r="D69" s="10"/>
      <c r="E69" s="11" t="s">
        <v>96</v>
      </c>
      <c r="F69" s="12">
        <v>0.13</v>
      </c>
      <c r="G69" s="11">
        <v>450</v>
      </c>
      <c r="H69" s="11">
        <v>50</v>
      </c>
      <c r="I69" s="11">
        <v>20</v>
      </c>
      <c r="J69" s="11">
        <v>1.6</v>
      </c>
      <c r="K69" s="13" t="s">
        <v>42</v>
      </c>
    </row>
    <row r="70" spans="1:11">
      <c r="A70" s="8">
        <v>71</v>
      </c>
      <c r="B70" s="20" t="s">
        <v>95</v>
      </c>
      <c r="C70" s="4" t="str">
        <f t="shared" si="1"/>
        <v>목재(중량)</v>
      </c>
      <c r="D70" s="10"/>
      <c r="E70" s="11" t="s">
        <v>97</v>
      </c>
      <c r="F70" s="12">
        <v>0.12</v>
      </c>
      <c r="G70" s="11">
        <v>500</v>
      </c>
      <c r="H70" s="11">
        <v>50</v>
      </c>
      <c r="I70" s="11">
        <v>20</v>
      </c>
      <c r="J70" s="11">
        <v>1.6</v>
      </c>
      <c r="K70" s="13" t="s">
        <v>42</v>
      </c>
    </row>
    <row r="71" spans="1:11">
      <c r="A71" s="8">
        <v>72</v>
      </c>
      <c r="B71" s="20" t="s">
        <v>95</v>
      </c>
      <c r="C71" s="4" t="str">
        <f t="shared" si="1"/>
        <v>바닥마감재</v>
      </c>
      <c r="D71" s="10"/>
      <c r="E71" s="11" t="s">
        <v>98</v>
      </c>
      <c r="F71" s="12">
        <v>0.13</v>
      </c>
      <c r="G71" s="11">
        <v>910</v>
      </c>
      <c r="H71" s="11">
        <v>10000</v>
      </c>
      <c r="I71" s="11">
        <v>10000</v>
      </c>
      <c r="J71" s="11">
        <v>1.4</v>
      </c>
      <c r="K71" s="13" t="s">
        <v>42</v>
      </c>
    </row>
    <row r="72" spans="1:11">
      <c r="A72" s="8">
        <v>73</v>
      </c>
      <c r="B72" s="17" t="s">
        <v>99</v>
      </c>
      <c r="C72" s="4" t="str">
        <f t="shared" si="1"/>
        <v>강재Steel</v>
      </c>
      <c r="D72" s="10" t="s">
        <v>100</v>
      </c>
      <c r="E72" s="11" t="s">
        <v>101</v>
      </c>
      <c r="F72" s="12">
        <v>50</v>
      </c>
      <c r="G72" s="11">
        <v>7800</v>
      </c>
      <c r="H72" s="11" t="s">
        <v>102</v>
      </c>
      <c r="I72" s="11" t="s">
        <v>102</v>
      </c>
      <c r="J72" s="11">
        <v>0.38</v>
      </c>
      <c r="K72" s="13" t="s">
        <v>42</v>
      </c>
    </row>
    <row r="73" spans="1:11">
      <c r="A73" s="8">
        <v>74</v>
      </c>
      <c r="B73" s="17" t="s">
        <v>99</v>
      </c>
      <c r="C73" s="4" t="str">
        <f t="shared" si="1"/>
        <v>징크Zink</v>
      </c>
      <c r="D73" s="10" t="s">
        <v>103</v>
      </c>
      <c r="E73" s="11" t="s">
        <v>104</v>
      </c>
      <c r="F73" s="12">
        <v>110</v>
      </c>
      <c r="G73" s="11">
        <v>7200</v>
      </c>
      <c r="H73" s="11" t="s">
        <v>102</v>
      </c>
      <c r="I73" s="11" t="s">
        <v>102</v>
      </c>
      <c r="J73" s="11">
        <v>0.47</v>
      </c>
      <c r="K73" s="13" t="s">
        <v>42</v>
      </c>
    </row>
    <row r="74" spans="1:11" ht="33.75">
      <c r="A74" s="8">
        <v>75</v>
      </c>
      <c r="B74" s="17" t="s">
        <v>99</v>
      </c>
      <c r="C74" s="4" t="str">
        <f t="shared" si="1"/>
        <v>스테인레스강Stainless steel</v>
      </c>
      <c r="D74" s="10" t="s">
        <v>105</v>
      </c>
      <c r="E74" s="11" t="s">
        <v>106</v>
      </c>
      <c r="F74" s="12">
        <v>17</v>
      </c>
      <c r="G74" s="11">
        <v>7900</v>
      </c>
      <c r="H74" s="11" t="s">
        <v>102</v>
      </c>
      <c r="I74" s="11" t="s">
        <v>102</v>
      </c>
      <c r="J74" s="11">
        <v>0.5</v>
      </c>
      <c r="K74" s="13" t="s">
        <v>42</v>
      </c>
    </row>
    <row r="75" spans="1:11">
      <c r="A75" s="8">
        <v>76</v>
      </c>
      <c r="B75" s="17" t="s">
        <v>99</v>
      </c>
      <c r="C75" s="4" t="str">
        <f t="shared" si="1"/>
        <v>알루미늄</v>
      </c>
      <c r="D75" s="10" t="s">
        <v>11</v>
      </c>
      <c r="E75" s="11" t="s">
        <v>107</v>
      </c>
      <c r="F75" s="12">
        <v>160</v>
      </c>
      <c r="G75" s="11">
        <v>2800</v>
      </c>
      <c r="H75" s="11" t="s">
        <v>102</v>
      </c>
      <c r="I75" s="11" t="s">
        <v>102</v>
      </c>
      <c r="J75" s="11">
        <v>0.88</v>
      </c>
      <c r="K75" s="13" t="s">
        <v>42</v>
      </c>
    </row>
    <row r="76" spans="1:11">
      <c r="A76" s="8">
        <v>77</v>
      </c>
      <c r="B76" s="17" t="s">
        <v>99</v>
      </c>
      <c r="C76" s="4" t="str">
        <f t="shared" si="1"/>
        <v>아연도금철판</v>
      </c>
      <c r="D76" s="10" t="s">
        <v>11</v>
      </c>
      <c r="E76" s="11" t="s">
        <v>108</v>
      </c>
      <c r="F76" s="12">
        <v>50</v>
      </c>
      <c r="G76" s="11">
        <v>7500</v>
      </c>
      <c r="H76" s="11" t="s">
        <v>102</v>
      </c>
      <c r="I76" s="11" t="s">
        <v>102</v>
      </c>
      <c r="J76" s="11">
        <v>0.45</v>
      </c>
      <c r="K76" s="13" t="s">
        <v>42</v>
      </c>
    </row>
    <row r="77" spans="1:11">
      <c r="A77" s="8">
        <v>78</v>
      </c>
      <c r="B77" s="17" t="s">
        <v>109</v>
      </c>
      <c r="C77" s="4" t="str">
        <f t="shared" si="1"/>
        <v>점토타일</v>
      </c>
      <c r="D77" s="10"/>
      <c r="E77" s="11" t="s">
        <v>110</v>
      </c>
      <c r="F77" s="12">
        <v>1</v>
      </c>
      <c r="G77" s="11">
        <v>2000</v>
      </c>
      <c r="H77" s="11">
        <v>40</v>
      </c>
      <c r="I77" s="11">
        <v>30</v>
      </c>
      <c r="J77" s="11">
        <v>0.8</v>
      </c>
      <c r="K77" s="13" t="s">
        <v>42</v>
      </c>
    </row>
    <row r="78" spans="1:11">
      <c r="A78" s="8">
        <v>79</v>
      </c>
      <c r="B78" s="17" t="s">
        <v>109</v>
      </c>
      <c r="C78" s="4" t="str">
        <f t="shared" si="1"/>
        <v>세라믹타일</v>
      </c>
      <c r="D78" s="10"/>
      <c r="E78" s="11" t="s">
        <v>111</v>
      </c>
      <c r="F78" s="12">
        <v>1.3</v>
      </c>
      <c r="G78" s="11">
        <v>2300</v>
      </c>
      <c r="H78" s="11" t="s">
        <v>102</v>
      </c>
      <c r="I78" s="11" t="s">
        <v>102</v>
      </c>
      <c r="J78" s="11">
        <v>1</v>
      </c>
      <c r="K78" s="13" t="s">
        <v>42</v>
      </c>
    </row>
    <row r="79" spans="1:11">
      <c r="A79" s="8">
        <v>80</v>
      </c>
      <c r="B79" s="17" t="s">
        <v>112</v>
      </c>
      <c r="C79" s="4" t="str">
        <f t="shared" si="1"/>
        <v>지점토</v>
      </c>
      <c r="D79" s="10"/>
      <c r="E79" s="11" t="s">
        <v>113</v>
      </c>
      <c r="F79" s="12">
        <v>1.5</v>
      </c>
      <c r="G79" s="11">
        <v>1500</v>
      </c>
      <c r="H79" s="11">
        <v>50</v>
      </c>
      <c r="I79" s="11">
        <v>50</v>
      </c>
      <c r="J79" s="11">
        <v>2</v>
      </c>
      <c r="K79" s="13" t="s">
        <v>42</v>
      </c>
    </row>
    <row r="80" spans="1:11">
      <c r="A80" s="8">
        <v>81</v>
      </c>
      <c r="B80" s="21" t="s">
        <v>112</v>
      </c>
      <c r="C80" s="4" t="str">
        <f t="shared" si="1"/>
        <v>모래 및 자갈</v>
      </c>
      <c r="D80" s="22"/>
      <c r="E80" s="23" t="s">
        <v>114</v>
      </c>
      <c r="F80" s="24">
        <v>2</v>
      </c>
      <c r="G80" s="23">
        <v>2000</v>
      </c>
      <c r="H80" s="23">
        <v>50</v>
      </c>
      <c r="I80" s="23">
        <v>50</v>
      </c>
      <c r="J80" s="23">
        <v>1</v>
      </c>
      <c r="K80" s="25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2023-04-25T12:48:26Z</dcterms:created>
  <dcterms:modified xsi:type="dcterms:W3CDTF">2023-04-25T12:50:53Z</dcterms:modified>
</cp:coreProperties>
</file>