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1.DB\"/>
    </mc:Choice>
  </mc:AlternateContent>
  <bookViews>
    <workbookView xWindow="0" yWindow="0" windowWidth="38400" windowHeight="12285"/>
  </bookViews>
  <sheets>
    <sheet name="유리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1" l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<sst xmlns="http://schemas.openxmlformats.org/spreadsheetml/2006/main" count="256" uniqueCount="123">
  <si>
    <t>번호</t>
    <phoneticPr fontId="2" type="noConversion"/>
  </si>
  <si>
    <t>DB유형</t>
    <phoneticPr fontId="2" type="noConversion"/>
  </si>
  <si>
    <t>제품명</t>
    <phoneticPr fontId="2" type="noConversion"/>
  </si>
  <si>
    <t>제조사</t>
    <phoneticPr fontId="2" type="noConversion"/>
  </si>
  <si>
    <t>복층/삼중/단창</t>
    <phoneticPr fontId="2" type="noConversion"/>
  </si>
  <si>
    <t>아르곤/공기</t>
    <phoneticPr fontId="2" type="noConversion"/>
  </si>
  <si>
    <t>LE/CL/V</t>
    <phoneticPr fontId="2" type="noConversion"/>
  </si>
  <si>
    <t>열관류율</t>
    <phoneticPr fontId="2" type="noConversion"/>
  </si>
  <si>
    <t>태양열취득율</t>
    <phoneticPr fontId="2" type="noConversion"/>
  </si>
  <si>
    <t>빛투과율</t>
    <phoneticPr fontId="2" type="noConversion"/>
  </si>
  <si>
    <t>외부반사율</t>
    <phoneticPr fontId="2" type="noConversion"/>
  </si>
  <si>
    <t>내부반사율</t>
    <phoneticPr fontId="2" type="noConversion"/>
  </si>
  <si>
    <t>DB유형</t>
    <phoneticPr fontId="2" type="noConversion"/>
  </si>
  <si>
    <r>
      <t>U</t>
    </r>
    <r>
      <rPr>
        <vertAlign val="subscript"/>
        <sz val="8"/>
        <color rgb="FF000000"/>
        <rFont val="맑은 고딕"/>
        <family val="3"/>
        <charset val="129"/>
        <scheme val="minor"/>
      </rPr>
      <t>g</t>
    </r>
    <r>
      <rPr>
        <sz val="8"/>
        <color rgb="FF000000"/>
        <rFont val="맑은 고딕"/>
        <family val="3"/>
        <charset val="129"/>
        <scheme val="minor"/>
      </rPr>
      <t/>
    </r>
    <phoneticPr fontId="2" type="noConversion"/>
  </si>
  <si>
    <t>SHGC</t>
    <phoneticPr fontId="2" type="noConversion"/>
  </si>
  <si>
    <r>
      <rPr>
        <sz val="8"/>
        <rFont val="Calibri"/>
        <family val="3"/>
        <charset val="161"/>
      </rPr>
      <t>τ</t>
    </r>
    <r>
      <rPr>
        <vertAlign val="subscript"/>
        <sz val="8"/>
        <rFont val="맑은 고딕"/>
        <family val="3"/>
        <charset val="129"/>
        <scheme val="minor"/>
      </rPr>
      <t>D65,SNA</t>
    </r>
    <phoneticPr fontId="2" type="noConversion"/>
  </si>
  <si>
    <r>
      <rPr>
        <sz val="8"/>
        <rFont val="Calibri"/>
        <family val="3"/>
        <charset val="161"/>
      </rPr>
      <t>ρ</t>
    </r>
    <r>
      <rPr>
        <vertAlign val="subscript"/>
        <sz val="8"/>
        <rFont val="Calibri"/>
        <family val="3"/>
      </rPr>
      <t>v</t>
    </r>
    <phoneticPr fontId="2" type="noConversion"/>
  </si>
  <si>
    <r>
      <rPr>
        <sz val="8"/>
        <rFont val="Calibri"/>
        <family val="3"/>
        <charset val="161"/>
      </rPr>
      <t>ρ'</t>
    </r>
    <r>
      <rPr>
        <vertAlign val="subscript"/>
        <sz val="8"/>
        <rFont val="Calibri"/>
        <family val="3"/>
      </rPr>
      <t>v</t>
    </r>
    <phoneticPr fontId="2" type="noConversion"/>
  </si>
  <si>
    <t>DB유형</t>
    <phoneticPr fontId="2" type="noConversion"/>
  </si>
  <si>
    <t>복층/삼중/단창</t>
    <phoneticPr fontId="2" type="noConversion"/>
  </si>
  <si>
    <r>
      <t>[W/m</t>
    </r>
    <r>
      <rPr>
        <vertAlign val="superscript"/>
        <sz val="8"/>
        <color rgb="FF000000"/>
        <rFont val="맑은 고딕"/>
        <family val="3"/>
        <charset val="129"/>
        <scheme val="minor"/>
      </rPr>
      <t>2</t>
    </r>
    <r>
      <rPr>
        <sz val="8"/>
        <color rgb="FF000000"/>
        <rFont val="맑은 고딕"/>
        <family val="3"/>
        <charset val="129"/>
      </rPr>
      <t>∙</t>
    </r>
    <r>
      <rPr>
        <sz val="8"/>
        <color rgb="FF000000"/>
        <rFont val="맑은 고딕"/>
        <family val="3"/>
        <charset val="129"/>
        <scheme val="minor"/>
      </rPr>
      <t>K]</t>
    </r>
    <phoneticPr fontId="2" type="noConversion"/>
  </si>
  <si>
    <t>SHGC</t>
    <phoneticPr fontId="2" type="noConversion"/>
  </si>
  <si>
    <r>
      <rPr>
        <sz val="8"/>
        <rFont val="Calibri"/>
        <family val="3"/>
        <charset val="161"/>
      </rPr>
      <t>ρ</t>
    </r>
    <r>
      <rPr>
        <vertAlign val="subscript"/>
        <sz val="8"/>
        <rFont val="Calibri"/>
        <family val="3"/>
      </rPr>
      <t>v</t>
    </r>
    <phoneticPr fontId="2" type="noConversion"/>
  </si>
  <si>
    <r>
      <rPr>
        <sz val="8"/>
        <rFont val="Calibri"/>
        <family val="3"/>
        <charset val="161"/>
      </rPr>
      <t>ρ'</t>
    </r>
    <r>
      <rPr>
        <vertAlign val="subscript"/>
        <sz val="8"/>
        <rFont val="Calibri"/>
        <family val="3"/>
      </rPr>
      <t>v</t>
    </r>
    <phoneticPr fontId="2" type="noConversion"/>
  </si>
  <si>
    <t>WG_001</t>
    <phoneticPr fontId="2" type="noConversion"/>
  </si>
  <si>
    <t>표준</t>
    <phoneticPr fontId="2" type="noConversion"/>
  </si>
  <si>
    <t>10CL</t>
    <phoneticPr fontId="2" type="noConversion"/>
  </si>
  <si>
    <t>IPAZEB</t>
    <phoneticPr fontId="2" type="noConversion"/>
  </si>
  <si>
    <t>CL</t>
  </si>
  <si>
    <t>WG_002</t>
  </si>
  <si>
    <t>CL/6A/CL</t>
    <phoneticPr fontId="2" type="noConversion"/>
  </si>
  <si>
    <t>WG_003</t>
  </si>
  <si>
    <t>CL/8A/CL</t>
    <phoneticPr fontId="2" type="noConversion"/>
  </si>
  <si>
    <t>IPAZEB</t>
    <phoneticPr fontId="2" type="noConversion"/>
  </si>
  <si>
    <t>WG_004</t>
  </si>
  <si>
    <t>CL/12A/CL</t>
    <phoneticPr fontId="2" type="noConversion"/>
  </si>
  <si>
    <t>WG_005</t>
  </si>
  <si>
    <t>CL/14A/CL</t>
    <phoneticPr fontId="2" type="noConversion"/>
  </si>
  <si>
    <t>WG_006</t>
  </si>
  <si>
    <t>CL/6R/CL</t>
    <phoneticPr fontId="2" type="noConversion"/>
  </si>
  <si>
    <t>WG_007</t>
  </si>
  <si>
    <t>CL/12R/CL</t>
    <phoneticPr fontId="2" type="noConversion"/>
  </si>
  <si>
    <t>WG_008</t>
  </si>
  <si>
    <t>CL/14R/CL</t>
    <phoneticPr fontId="2" type="noConversion"/>
  </si>
  <si>
    <t>WG_009</t>
  </si>
  <si>
    <t>LE/6A/CL</t>
    <phoneticPr fontId="2" type="noConversion"/>
  </si>
  <si>
    <t>LE</t>
  </si>
  <si>
    <t>WG_010</t>
  </si>
  <si>
    <t>LE/12A/CL</t>
    <phoneticPr fontId="2" type="noConversion"/>
  </si>
  <si>
    <t>WG_011</t>
  </si>
  <si>
    <t>LE/14A/CL</t>
    <phoneticPr fontId="2" type="noConversion"/>
  </si>
  <si>
    <t>WG_012</t>
  </si>
  <si>
    <t>표준</t>
    <phoneticPr fontId="2" type="noConversion"/>
  </si>
  <si>
    <t>LE/6R/CL</t>
    <phoneticPr fontId="2" type="noConversion"/>
  </si>
  <si>
    <t>WG_013</t>
  </si>
  <si>
    <t>표준</t>
    <phoneticPr fontId="2" type="noConversion"/>
  </si>
  <si>
    <t>LE/12R/CL</t>
    <phoneticPr fontId="2" type="noConversion"/>
  </si>
  <si>
    <t>WG_014</t>
  </si>
  <si>
    <t>LE/14R/CL</t>
    <phoneticPr fontId="2" type="noConversion"/>
  </si>
  <si>
    <t>WG_015</t>
  </si>
  <si>
    <t>CLE/6A/CL</t>
    <phoneticPr fontId="2" type="noConversion"/>
  </si>
  <si>
    <t>WG_016</t>
  </si>
  <si>
    <t>CLE/12A/CL</t>
    <phoneticPr fontId="2" type="noConversion"/>
  </si>
  <si>
    <t>WG_017</t>
  </si>
  <si>
    <t>CLE/14A/CL</t>
    <phoneticPr fontId="2" type="noConversion"/>
  </si>
  <si>
    <t>WG_018</t>
  </si>
  <si>
    <t>CLE/6R/CL</t>
    <phoneticPr fontId="2" type="noConversion"/>
  </si>
  <si>
    <t>WG_019</t>
  </si>
  <si>
    <t>CLE/12R/CL</t>
    <phoneticPr fontId="2" type="noConversion"/>
  </si>
  <si>
    <t>WG_020</t>
  </si>
  <si>
    <t>CLE/14R/CL</t>
    <phoneticPr fontId="2" type="noConversion"/>
  </si>
  <si>
    <t>WG_021</t>
  </si>
  <si>
    <t>CL/V/LE/6A/CL</t>
    <phoneticPr fontId="2" type="noConversion"/>
  </si>
  <si>
    <t>V</t>
  </si>
  <si>
    <t>WG_022</t>
  </si>
  <si>
    <t>CL/V/LE/12A/CL</t>
    <phoneticPr fontId="2" type="noConversion"/>
  </si>
  <si>
    <t>WG_023</t>
  </si>
  <si>
    <t>CL/V/LE/14A/CL</t>
    <phoneticPr fontId="2" type="noConversion"/>
  </si>
  <si>
    <t>WG_024</t>
  </si>
  <si>
    <t>CL/V/LE/6R/CL</t>
    <phoneticPr fontId="2" type="noConversion"/>
  </si>
  <si>
    <t>WG_025</t>
  </si>
  <si>
    <t>표준</t>
    <phoneticPr fontId="2" type="noConversion"/>
  </si>
  <si>
    <t>CL/V/LE/12R/CL</t>
    <phoneticPr fontId="2" type="noConversion"/>
  </si>
  <si>
    <t>IPAZEB</t>
    <phoneticPr fontId="2" type="noConversion"/>
  </si>
  <si>
    <t>WG_026</t>
  </si>
  <si>
    <t>CL/V/LE/14R/CL</t>
    <phoneticPr fontId="2" type="noConversion"/>
  </si>
  <si>
    <t>WG_027</t>
  </si>
  <si>
    <t>CL/6A/CL/6A/CL</t>
    <phoneticPr fontId="2" type="noConversion"/>
  </si>
  <si>
    <t>WG_028</t>
  </si>
  <si>
    <t>CL/12A/CL/12A/CL</t>
    <phoneticPr fontId="2" type="noConversion"/>
  </si>
  <si>
    <t>WG_029</t>
  </si>
  <si>
    <t>CL/14A/CL/14A/CL</t>
    <phoneticPr fontId="2" type="noConversion"/>
  </si>
  <si>
    <t>WG_030</t>
  </si>
  <si>
    <t>CL/6R/CL/6R/CL</t>
    <phoneticPr fontId="2" type="noConversion"/>
  </si>
  <si>
    <t>WG_031</t>
  </si>
  <si>
    <t>CL/12R/CL/12R/CL</t>
    <phoneticPr fontId="2" type="noConversion"/>
  </si>
  <si>
    <t>WG_032</t>
  </si>
  <si>
    <t>CL/14R/CL/14R/CL</t>
    <phoneticPr fontId="2" type="noConversion"/>
  </si>
  <si>
    <t>WG_033</t>
  </si>
  <si>
    <t>LE/6A/CL/6A/LE</t>
    <phoneticPr fontId="2" type="noConversion"/>
  </si>
  <si>
    <t>WG_034</t>
  </si>
  <si>
    <t>LE/12A/CL/12A/LE</t>
    <phoneticPr fontId="2" type="noConversion"/>
  </si>
  <si>
    <t>WG_035</t>
  </si>
  <si>
    <t>LE/14A/CL/14A/LE</t>
    <phoneticPr fontId="2" type="noConversion"/>
  </si>
  <si>
    <t>WG_036</t>
  </si>
  <si>
    <t>LE/6R/CL/6R/LE</t>
    <phoneticPr fontId="2" type="noConversion"/>
  </si>
  <si>
    <t>WG_037</t>
  </si>
  <si>
    <t>LE/12R/CL/12R/LE</t>
    <phoneticPr fontId="2" type="noConversion"/>
  </si>
  <si>
    <t>WG_038</t>
  </si>
  <si>
    <t>LE/14R/CL/14R/LE</t>
    <phoneticPr fontId="2" type="noConversion"/>
  </si>
  <si>
    <t>WG_039</t>
  </si>
  <si>
    <t>CLE/6A/CL/6A/LE</t>
    <phoneticPr fontId="2" type="noConversion"/>
  </si>
  <si>
    <t>WG_040</t>
  </si>
  <si>
    <t>CLE/12A/CL/12A/LE</t>
    <phoneticPr fontId="2" type="noConversion"/>
  </si>
  <si>
    <t>WG_041</t>
  </si>
  <si>
    <t>CLE/14A/CL/14A/LE</t>
    <phoneticPr fontId="2" type="noConversion"/>
  </si>
  <si>
    <t>IPAZEB</t>
    <phoneticPr fontId="2" type="noConversion"/>
  </si>
  <si>
    <t>WG_042</t>
  </si>
  <si>
    <t>CLE/6R/CL/6R/LE</t>
    <phoneticPr fontId="2" type="noConversion"/>
  </si>
  <si>
    <t>WG_043</t>
  </si>
  <si>
    <t>CLE/12R/CL/12R/LE</t>
    <phoneticPr fontId="2" type="noConversion"/>
  </si>
  <si>
    <t>WG_044</t>
  </si>
  <si>
    <t>CLE/14R/CL/14R/LE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</si>
</sst>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1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61"/>
      <scheme val="minor"/>
    </font>
    <font>
      <sz val="8"/>
      <color theme="1"/>
      <name val="맑은 고딕"/>
      <family val="3"/>
      <charset val="129"/>
      <scheme val="minor"/>
    </font>
    <font>
      <vertAlign val="subscript"/>
      <sz val="8"/>
      <color rgb="FF000000"/>
      <name val="맑은 고딕"/>
      <family val="3"/>
      <charset val="129"/>
      <scheme val="minor"/>
    </font>
    <font>
      <sz val="8"/>
      <name val="Calibri"/>
      <family val="3"/>
      <charset val="161"/>
    </font>
    <font>
      <vertAlign val="subscript"/>
      <sz val="8"/>
      <name val="맑은 고딕"/>
      <family val="3"/>
      <charset val="129"/>
      <scheme val="minor"/>
    </font>
    <font>
      <vertAlign val="subscript"/>
      <sz val="8"/>
      <name val="Calibri"/>
      <family val="3"/>
    </font>
    <font>
      <vertAlign val="superscript"/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76" fontId="7" fillId="0" borderId="3" xfId="0" applyNumberFormat="1" applyFont="1" applyFill="1" applyBorder="1" applyAlignment="1">
      <alignment horizontal="center" vertical="center" wrapText="1"/>
    </xf>
    <xf numFmtId="2" fontId="7" fillId="0" borderId="3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horizontal="center" vertical="center" wrapText="1"/>
    </xf>
    <xf numFmtId="2" fontId="7" fillId="0" borderId="4" xfId="0" applyNumberFormat="1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/>
    </xf>
    <xf numFmtId="2" fontId="7" fillId="0" borderId="5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workbookViewId="0"/>
  </sheetViews>
  <sheetFormatPr defaultRowHeight="16.5" x14ac:dyDescent="0.3"/>
  <cols>
    <col min="5" max="5" width="10.875" bestFit="1" customWidth="1"/>
  </cols>
  <sheetData>
    <row r="1" spans="1:12" ht="16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</row>
    <row r="2" spans="1:12" x14ac:dyDescent="0.3">
      <c r="A2" s="1" t="s">
        <v>0</v>
      </c>
      <c r="B2" s="2" t="s">
        <v>12</v>
      </c>
      <c r="C2" s="2" t="s">
        <v>2</v>
      </c>
      <c r="D2" s="2" t="s">
        <v>3</v>
      </c>
      <c r="E2" s="3" t="s">
        <v>4</v>
      </c>
      <c r="F2" s="3" t="s">
        <v>5</v>
      </c>
      <c r="G2" s="2" t="s">
        <v>6</v>
      </c>
      <c r="H2" s="8" t="s">
        <v>13</v>
      </c>
      <c r="I2" s="9" t="s">
        <v>14</v>
      </c>
      <c r="J2" s="10" t="s">
        <v>15</v>
      </c>
      <c r="K2" s="11" t="s">
        <v>16</v>
      </c>
      <c r="L2" s="11" t="s">
        <v>17</v>
      </c>
    </row>
    <row r="3" spans="1:12" x14ac:dyDescent="0.3">
      <c r="A3" s="1" t="s">
        <v>0</v>
      </c>
      <c r="B3" s="2" t="s">
        <v>18</v>
      </c>
      <c r="C3" s="2" t="s">
        <v>2</v>
      </c>
      <c r="D3" s="2" t="s">
        <v>3</v>
      </c>
      <c r="E3" s="3" t="s">
        <v>19</v>
      </c>
      <c r="F3" s="3" t="s">
        <v>5</v>
      </c>
      <c r="G3" s="2" t="s">
        <v>6</v>
      </c>
      <c r="H3" s="8" t="s">
        <v>20</v>
      </c>
      <c r="I3" s="9" t="s">
        <v>21</v>
      </c>
      <c r="J3" s="10" t="s">
        <v>15</v>
      </c>
      <c r="K3" s="11" t="s">
        <v>22</v>
      </c>
      <c r="L3" s="11" t="s">
        <v>23</v>
      </c>
    </row>
    <row r="4" spans="1:12" x14ac:dyDescent="0.3">
      <c r="A4" s="12" t="s">
        <v>24</v>
      </c>
      <c r="B4" s="13" t="s">
        <v>25</v>
      </c>
      <c r="C4" s="14" t="s">
        <v>26</v>
      </c>
      <c r="D4" s="14" t="s">
        <v>27</v>
      </c>
      <c r="E4" s="14" t="str">
        <f t="shared" ref="E4:E47" si="0">IF( SUM(LEN(C4)-LEN(SUBSTITUTE(C4,"/","")))=0,"단창", IF( SUM(LEN(C4)-LEN(SUBSTITUTE(C4,"/","")))=2,"복층", IF( SUM(LEN(C4)-LEN(SUBSTITUTE(C4,"/","")))=4,"삼중","")))</f>
        <v>단창</v>
      </c>
      <c r="F4" s="14" t="str">
        <f t="shared" ref="F4:F47" si="1">IF(LEN(C4)-LEN(SUBSTITUTE(C4,"R",""))=0,"공기", IF(LEN(C4)-LEN(SUBSTITUTE(C4,"R",""))&gt;0,"아르곤",""))</f>
        <v>공기</v>
      </c>
      <c r="G4" s="14" t="s">
        <v>28</v>
      </c>
      <c r="H4" s="15">
        <v>5.7640000000000002</v>
      </c>
      <c r="I4" s="15">
        <v>0.86099999999999999</v>
      </c>
      <c r="J4" s="15">
        <v>0.89400000000000002</v>
      </c>
      <c r="K4" s="16">
        <v>7.9799999999999996E-2</v>
      </c>
      <c r="L4" s="16">
        <v>7.9799999999999996E-2</v>
      </c>
    </row>
    <row r="5" spans="1:12" x14ac:dyDescent="0.3">
      <c r="A5" s="17" t="s">
        <v>29</v>
      </c>
      <c r="B5" s="13" t="s">
        <v>25</v>
      </c>
      <c r="C5" s="18" t="s">
        <v>30</v>
      </c>
      <c r="D5" s="18" t="s">
        <v>27</v>
      </c>
      <c r="E5" s="18" t="str">
        <f t="shared" si="0"/>
        <v>복층</v>
      </c>
      <c r="F5" s="18" t="str">
        <f t="shared" si="1"/>
        <v>공기</v>
      </c>
      <c r="G5" s="18" t="s">
        <v>28</v>
      </c>
      <c r="H5" s="19">
        <v>3.2480000000000002</v>
      </c>
      <c r="I5" s="19">
        <v>0.75900000000000001</v>
      </c>
      <c r="J5" s="19">
        <v>0.80400000000000005</v>
      </c>
      <c r="K5" s="20">
        <v>0.14410000000000001</v>
      </c>
      <c r="L5" s="20">
        <v>0.14410000000000001</v>
      </c>
    </row>
    <row r="6" spans="1:12" x14ac:dyDescent="0.3">
      <c r="A6" s="17" t="s">
        <v>31</v>
      </c>
      <c r="B6" s="13" t="s">
        <v>25</v>
      </c>
      <c r="C6" s="18" t="s">
        <v>32</v>
      </c>
      <c r="D6" s="18" t="s">
        <v>33</v>
      </c>
      <c r="E6" s="18" t="str">
        <f t="shared" si="0"/>
        <v>복층</v>
      </c>
      <c r="F6" s="18" t="str">
        <f t="shared" si="1"/>
        <v>공기</v>
      </c>
      <c r="G6" s="18" t="s">
        <v>28</v>
      </c>
      <c r="H6" s="19">
        <v>3.0529999999999999</v>
      </c>
      <c r="I6" s="19">
        <v>0.75900000000000001</v>
      </c>
      <c r="J6" s="19">
        <v>0.80400000000000005</v>
      </c>
      <c r="K6" s="20">
        <v>0.14410000000000001</v>
      </c>
      <c r="L6" s="20">
        <v>0.14410000000000001</v>
      </c>
    </row>
    <row r="7" spans="1:12" x14ac:dyDescent="0.3">
      <c r="A7" s="17" t="s">
        <v>34</v>
      </c>
      <c r="B7" s="13" t="s">
        <v>25</v>
      </c>
      <c r="C7" s="18" t="s">
        <v>35</v>
      </c>
      <c r="D7" s="18" t="s">
        <v>27</v>
      </c>
      <c r="E7" s="18" t="str">
        <f t="shared" si="0"/>
        <v>복층</v>
      </c>
      <c r="F7" s="18" t="str">
        <f t="shared" si="1"/>
        <v>공기</v>
      </c>
      <c r="G7" s="18" t="s">
        <v>28</v>
      </c>
      <c r="H7" s="19">
        <v>2.8250000000000002</v>
      </c>
      <c r="I7" s="19">
        <v>0.75900000000000001</v>
      </c>
      <c r="J7" s="19">
        <v>0.80400000000000005</v>
      </c>
      <c r="K7" s="20">
        <v>0.14410000000000001</v>
      </c>
      <c r="L7" s="20">
        <v>0.14410000000000001</v>
      </c>
    </row>
    <row r="8" spans="1:12" x14ac:dyDescent="0.3">
      <c r="A8" s="17" t="s">
        <v>36</v>
      </c>
      <c r="B8" s="13" t="s">
        <v>25</v>
      </c>
      <c r="C8" s="18" t="s">
        <v>37</v>
      </c>
      <c r="D8" s="18" t="s">
        <v>27</v>
      </c>
      <c r="E8" s="18" t="str">
        <f t="shared" si="0"/>
        <v>복층</v>
      </c>
      <c r="F8" s="18" t="str">
        <f t="shared" si="1"/>
        <v>공기</v>
      </c>
      <c r="G8" s="18" t="s">
        <v>28</v>
      </c>
      <c r="H8" s="19">
        <v>2.7589999999999999</v>
      </c>
      <c r="I8" s="19">
        <v>0.75900000000000001</v>
      </c>
      <c r="J8" s="19">
        <v>0.80400000000000005</v>
      </c>
      <c r="K8" s="20">
        <v>0.14410000000000001</v>
      </c>
      <c r="L8" s="20">
        <v>0.14410000000000001</v>
      </c>
    </row>
    <row r="9" spans="1:12" x14ac:dyDescent="0.3">
      <c r="A9" s="17" t="s">
        <v>38</v>
      </c>
      <c r="B9" s="13" t="s">
        <v>25</v>
      </c>
      <c r="C9" s="18" t="s">
        <v>39</v>
      </c>
      <c r="D9" s="18" t="s">
        <v>27</v>
      </c>
      <c r="E9" s="18" t="str">
        <f t="shared" si="0"/>
        <v>복층</v>
      </c>
      <c r="F9" s="18" t="str">
        <f t="shared" si="1"/>
        <v>아르곤</v>
      </c>
      <c r="G9" s="18" t="s">
        <v>28</v>
      </c>
      <c r="H9" s="19">
        <v>3.0139999999999998</v>
      </c>
      <c r="I9" s="19">
        <v>0.75900000000000001</v>
      </c>
      <c r="J9" s="19">
        <v>0.80400000000000005</v>
      </c>
      <c r="K9" s="20">
        <v>0.14410000000000001</v>
      </c>
      <c r="L9" s="20">
        <v>0.14410000000000001</v>
      </c>
    </row>
    <row r="10" spans="1:12" x14ac:dyDescent="0.3">
      <c r="A10" s="17" t="s">
        <v>40</v>
      </c>
      <c r="B10" s="13" t="s">
        <v>25</v>
      </c>
      <c r="C10" s="18" t="s">
        <v>41</v>
      </c>
      <c r="D10" s="18" t="s">
        <v>27</v>
      </c>
      <c r="E10" s="18" t="str">
        <f t="shared" si="0"/>
        <v>복층</v>
      </c>
      <c r="F10" s="18" t="str">
        <f t="shared" si="1"/>
        <v>아르곤</v>
      </c>
      <c r="G10" s="18" t="s">
        <v>28</v>
      </c>
      <c r="H10" s="19">
        <v>2.669</v>
      </c>
      <c r="I10" s="19">
        <v>0.75900000000000001</v>
      </c>
      <c r="J10" s="19">
        <v>0.80400000000000005</v>
      </c>
      <c r="K10" s="20">
        <v>0.14410000000000001</v>
      </c>
      <c r="L10" s="20">
        <v>0.14410000000000001</v>
      </c>
    </row>
    <row r="11" spans="1:12" x14ac:dyDescent="0.3">
      <c r="A11" s="17" t="s">
        <v>42</v>
      </c>
      <c r="B11" s="13" t="s">
        <v>25</v>
      </c>
      <c r="C11" s="18" t="s">
        <v>43</v>
      </c>
      <c r="D11" s="18" t="s">
        <v>27</v>
      </c>
      <c r="E11" s="18" t="str">
        <f t="shared" si="0"/>
        <v>복층</v>
      </c>
      <c r="F11" s="18" t="str">
        <f t="shared" si="1"/>
        <v>아르곤</v>
      </c>
      <c r="G11" s="18" t="s">
        <v>28</v>
      </c>
      <c r="H11" s="19">
        <v>2.62</v>
      </c>
      <c r="I11" s="19">
        <v>0.75900000000000001</v>
      </c>
      <c r="J11" s="19">
        <v>0.80400000000000005</v>
      </c>
      <c r="K11" s="20">
        <v>0.14410000000000001</v>
      </c>
      <c r="L11" s="20">
        <v>0.14410000000000001</v>
      </c>
    </row>
    <row r="12" spans="1:12" x14ac:dyDescent="0.3">
      <c r="A12" s="17" t="s">
        <v>44</v>
      </c>
      <c r="B12" s="13" t="s">
        <v>25</v>
      </c>
      <c r="C12" s="18" t="s">
        <v>45</v>
      </c>
      <c r="D12" s="18" t="s">
        <v>33</v>
      </c>
      <c r="E12" s="18" t="str">
        <f t="shared" si="0"/>
        <v>복층</v>
      </c>
      <c r="F12" s="18" t="str">
        <f t="shared" si="1"/>
        <v>공기</v>
      </c>
      <c r="G12" s="18" t="s">
        <v>46</v>
      </c>
      <c r="H12" s="19">
        <v>2.4950000000000001</v>
      </c>
      <c r="I12" s="19">
        <v>0.60899999999999999</v>
      </c>
      <c r="J12" s="19">
        <v>0.77400000000000002</v>
      </c>
      <c r="K12" s="20">
        <v>0.1072</v>
      </c>
      <c r="L12" s="20">
        <v>0.11559999999999999</v>
      </c>
    </row>
    <row r="13" spans="1:12" x14ac:dyDescent="0.3">
      <c r="A13" s="17" t="s">
        <v>47</v>
      </c>
      <c r="B13" s="13" t="s">
        <v>25</v>
      </c>
      <c r="C13" s="18" t="s">
        <v>48</v>
      </c>
      <c r="D13" s="18" t="s">
        <v>27</v>
      </c>
      <c r="E13" s="18" t="str">
        <f t="shared" si="0"/>
        <v>복층</v>
      </c>
      <c r="F13" s="18" t="str">
        <f t="shared" si="1"/>
        <v>공기</v>
      </c>
      <c r="G13" s="18" t="s">
        <v>46</v>
      </c>
      <c r="H13" s="19">
        <v>1.716</v>
      </c>
      <c r="I13" s="19">
        <v>0.60099999999999998</v>
      </c>
      <c r="J13" s="19">
        <v>0.77400000000000002</v>
      </c>
      <c r="K13" s="20">
        <v>0.1072</v>
      </c>
      <c r="L13" s="20">
        <v>0.11559999999999999</v>
      </c>
    </row>
    <row r="14" spans="1:12" x14ac:dyDescent="0.3">
      <c r="A14" s="17" t="s">
        <v>49</v>
      </c>
      <c r="B14" s="13" t="s">
        <v>25</v>
      </c>
      <c r="C14" s="18" t="s">
        <v>50</v>
      </c>
      <c r="D14" s="18" t="s">
        <v>27</v>
      </c>
      <c r="E14" s="18" t="str">
        <f t="shared" si="0"/>
        <v>복층</v>
      </c>
      <c r="F14" s="18" t="str">
        <f t="shared" si="1"/>
        <v>공기</v>
      </c>
      <c r="G14" s="18" t="s">
        <v>46</v>
      </c>
      <c r="H14" s="19">
        <v>1.6</v>
      </c>
      <c r="I14" s="19">
        <v>0.59899999999999998</v>
      </c>
      <c r="J14" s="19">
        <v>0.77400000000000002</v>
      </c>
      <c r="K14" s="20">
        <v>0.1072</v>
      </c>
      <c r="L14" s="20">
        <v>0.11559999999999999</v>
      </c>
    </row>
    <row r="15" spans="1:12" x14ac:dyDescent="0.3">
      <c r="A15" s="17" t="s">
        <v>51</v>
      </c>
      <c r="B15" s="13" t="s">
        <v>52</v>
      </c>
      <c r="C15" s="18" t="s">
        <v>53</v>
      </c>
      <c r="D15" s="18" t="s">
        <v>27</v>
      </c>
      <c r="E15" s="18" t="str">
        <f t="shared" si="0"/>
        <v>복층</v>
      </c>
      <c r="F15" s="18" t="str">
        <f t="shared" si="1"/>
        <v>아르곤</v>
      </c>
      <c r="G15" s="18" t="s">
        <v>46</v>
      </c>
      <c r="H15" s="19">
        <v>2.0699999999999998</v>
      </c>
      <c r="I15" s="19">
        <v>0.60499999999999998</v>
      </c>
      <c r="J15" s="19">
        <v>0.77400000000000002</v>
      </c>
      <c r="K15" s="20">
        <v>0.1072</v>
      </c>
      <c r="L15" s="20">
        <v>0.11559999999999999</v>
      </c>
    </row>
    <row r="16" spans="1:12" x14ac:dyDescent="0.3">
      <c r="A16" s="17" t="s">
        <v>54</v>
      </c>
      <c r="B16" s="13" t="s">
        <v>55</v>
      </c>
      <c r="C16" s="18" t="s">
        <v>56</v>
      </c>
      <c r="D16" s="18" t="s">
        <v>27</v>
      </c>
      <c r="E16" s="18" t="str">
        <f t="shared" si="0"/>
        <v>복층</v>
      </c>
      <c r="F16" s="18" t="str">
        <f t="shared" si="1"/>
        <v>아르곤</v>
      </c>
      <c r="G16" s="18" t="s">
        <v>46</v>
      </c>
      <c r="H16" s="19">
        <v>1.403</v>
      </c>
      <c r="I16" s="19">
        <v>0.59699999999999998</v>
      </c>
      <c r="J16" s="19">
        <v>0.77400000000000002</v>
      </c>
      <c r="K16" s="20">
        <v>0.1072</v>
      </c>
      <c r="L16" s="20">
        <v>0.11559999999999999</v>
      </c>
    </row>
    <row r="17" spans="1:12" x14ac:dyDescent="0.3">
      <c r="A17" s="17" t="s">
        <v>57</v>
      </c>
      <c r="B17" s="13" t="s">
        <v>25</v>
      </c>
      <c r="C17" s="18" t="s">
        <v>58</v>
      </c>
      <c r="D17" s="18" t="s">
        <v>27</v>
      </c>
      <c r="E17" s="18" t="str">
        <f t="shared" si="0"/>
        <v>복층</v>
      </c>
      <c r="F17" s="18" t="str">
        <f t="shared" si="1"/>
        <v>아르곤</v>
      </c>
      <c r="G17" s="18" t="s">
        <v>46</v>
      </c>
      <c r="H17" s="19">
        <v>1.323</v>
      </c>
      <c r="I17" s="19">
        <v>0.59599999999999997</v>
      </c>
      <c r="J17" s="19">
        <v>0.77400000000000002</v>
      </c>
      <c r="K17" s="20">
        <v>0.1072</v>
      </c>
      <c r="L17" s="20">
        <v>0.11559999999999999</v>
      </c>
    </row>
    <row r="18" spans="1:12" x14ac:dyDescent="0.3">
      <c r="A18" s="17" t="s">
        <v>59</v>
      </c>
      <c r="B18" s="13" t="s">
        <v>25</v>
      </c>
      <c r="C18" s="18" t="s">
        <v>60</v>
      </c>
      <c r="D18" s="18" t="s">
        <v>27</v>
      </c>
      <c r="E18" s="18" t="str">
        <f t="shared" si="0"/>
        <v>복층</v>
      </c>
      <c r="F18" s="18" t="str">
        <f t="shared" si="1"/>
        <v>공기</v>
      </c>
      <c r="G18" s="18" t="s">
        <v>46</v>
      </c>
      <c r="H18" s="19">
        <v>2.4300000000000002</v>
      </c>
      <c r="I18" s="19">
        <v>0.44</v>
      </c>
      <c r="J18" s="19">
        <v>0.40200000000000002</v>
      </c>
      <c r="K18" s="20">
        <v>0.33250000000000002</v>
      </c>
      <c r="L18" s="20">
        <v>0.25979999999999998</v>
      </c>
    </row>
    <row r="19" spans="1:12" x14ac:dyDescent="0.3">
      <c r="A19" s="17" t="s">
        <v>61</v>
      </c>
      <c r="B19" s="13" t="s">
        <v>25</v>
      </c>
      <c r="C19" s="18" t="s">
        <v>62</v>
      </c>
      <c r="D19" s="18" t="s">
        <v>33</v>
      </c>
      <c r="E19" s="18" t="str">
        <f t="shared" si="0"/>
        <v>복층</v>
      </c>
      <c r="F19" s="18" t="str">
        <f t="shared" si="1"/>
        <v>공기</v>
      </c>
      <c r="G19" s="18" t="s">
        <v>46</v>
      </c>
      <c r="H19" s="19">
        <v>1.6160000000000001</v>
      </c>
      <c r="I19" s="19">
        <v>0.30299999999999999</v>
      </c>
      <c r="J19" s="19">
        <v>0.40200000000000002</v>
      </c>
      <c r="K19" s="20">
        <v>0.33250000000000002</v>
      </c>
      <c r="L19" s="20">
        <v>0.25979999999999998</v>
      </c>
    </row>
    <row r="20" spans="1:12" x14ac:dyDescent="0.3">
      <c r="A20" s="17" t="s">
        <v>63</v>
      </c>
      <c r="B20" s="13" t="s">
        <v>25</v>
      </c>
      <c r="C20" s="18" t="s">
        <v>64</v>
      </c>
      <c r="D20" s="18" t="s">
        <v>27</v>
      </c>
      <c r="E20" s="18" t="str">
        <f t="shared" si="0"/>
        <v>복층</v>
      </c>
      <c r="F20" s="18" t="str">
        <f t="shared" si="1"/>
        <v>공기</v>
      </c>
      <c r="G20" s="18" t="s">
        <v>46</v>
      </c>
      <c r="H20" s="19">
        <v>1.496</v>
      </c>
      <c r="I20" s="19">
        <v>0.29899999999999999</v>
      </c>
      <c r="J20" s="19">
        <v>0.40200000000000002</v>
      </c>
      <c r="K20" s="20">
        <v>0.33250000000000002</v>
      </c>
      <c r="L20" s="20">
        <v>0.25979999999999998</v>
      </c>
    </row>
    <row r="21" spans="1:12" x14ac:dyDescent="0.3">
      <c r="A21" s="17" t="s">
        <v>65</v>
      </c>
      <c r="B21" s="13" t="s">
        <v>25</v>
      </c>
      <c r="C21" s="18" t="s">
        <v>66</v>
      </c>
      <c r="D21" s="18" t="s">
        <v>27</v>
      </c>
      <c r="E21" s="18" t="str">
        <f t="shared" si="0"/>
        <v>복층</v>
      </c>
      <c r="F21" s="18" t="str">
        <f t="shared" si="1"/>
        <v>아르곤</v>
      </c>
      <c r="G21" s="18" t="s">
        <v>46</v>
      </c>
      <c r="H21" s="19">
        <v>1.9870000000000001</v>
      </c>
      <c r="I21" s="19">
        <v>0.314</v>
      </c>
      <c r="J21" s="19">
        <v>0.40200000000000002</v>
      </c>
      <c r="K21" s="20">
        <v>0.33250000000000002</v>
      </c>
      <c r="L21" s="20">
        <v>0.25979999999999998</v>
      </c>
    </row>
    <row r="22" spans="1:12" x14ac:dyDescent="0.3">
      <c r="A22" s="17" t="s">
        <v>67</v>
      </c>
      <c r="B22" s="13" t="s">
        <v>25</v>
      </c>
      <c r="C22" s="18" t="s">
        <v>68</v>
      </c>
      <c r="D22" s="18" t="s">
        <v>27</v>
      </c>
      <c r="E22" s="18" t="str">
        <f t="shared" si="0"/>
        <v>복층</v>
      </c>
      <c r="F22" s="18" t="str">
        <f t="shared" si="1"/>
        <v>아르곤</v>
      </c>
      <c r="G22" s="18" t="s">
        <v>46</v>
      </c>
      <c r="H22" s="19">
        <v>1.286</v>
      </c>
      <c r="I22" s="19">
        <v>0.29299999999999998</v>
      </c>
      <c r="J22" s="19">
        <v>0.40200000000000002</v>
      </c>
      <c r="K22" s="20">
        <v>0.33250000000000002</v>
      </c>
      <c r="L22" s="20">
        <v>0.25979999999999998</v>
      </c>
    </row>
    <row r="23" spans="1:12" x14ac:dyDescent="0.3">
      <c r="A23" s="17" t="s">
        <v>69</v>
      </c>
      <c r="B23" s="13" t="s">
        <v>25</v>
      </c>
      <c r="C23" s="18" t="s">
        <v>70</v>
      </c>
      <c r="D23" s="18" t="s">
        <v>27</v>
      </c>
      <c r="E23" s="18" t="str">
        <f t="shared" si="0"/>
        <v>복층</v>
      </c>
      <c r="F23" s="18" t="str">
        <f t="shared" si="1"/>
        <v>아르곤</v>
      </c>
      <c r="G23" s="18" t="s">
        <v>46</v>
      </c>
      <c r="H23" s="19">
        <v>1.204</v>
      </c>
      <c r="I23" s="19">
        <v>0.28899999999999998</v>
      </c>
      <c r="J23" s="19">
        <v>0.40200000000000002</v>
      </c>
      <c r="K23" s="20">
        <v>0.33250000000000002</v>
      </c>
      <c r="L23" s="20">
        <v>0.25979999999999998</v>
      </c>
    </row>
    <row r="24" spans="1:12" x14ac:dyDescent="0.3">
      <c r="A24" s="17" t="s">
        <v>71</v>
      </c>
      <c r="B24" s="13" t="s">
        <v>25</v>
      </c>
      <c r="C24" s="18" t="s">
        <v>72</v>
      </c>
      <c r="D24" s="18" t="s">
        <v>27</v>
      </c>
      <c r="E24" s="18" t="str">
        <f t="shared" si="0"/>
        <v>삼중</v>
      </c>
      <c r="F24" s="18" t="str">
        <f t="shared" si="1"/>
        <v>공기</v>
      </c>
      <c r="G24" s="18" t="s">
        <v>73</v>
      </c>
      <c r="H24" s="19">
        <v>0.71299999999999997</v>
      </c>
      <c r="I24" s="19">
        <v>0.56100000000000005</v>
      </c>
      <c r="J24" s="19">
        <v>0.69799999999999995</v>
      </c>
      <c r="K24" s="20">
        <v>0.1731</v>
      </c>
      <c r="L24" s="20">
        <v>0.1555</v>
      </c>
    </row>
    <row r="25" spans="1:12" x14ac:dyDescent="0.3">
      <c r="A25" s="17" t="s">
        <v>74</v>
      </c>
      <c r="B25" s="13" t="s">
        <v>25</v>
      </c>
      <c r="C25" s="18" t="s">
        <v>75</v>
      </c>
      <c r="D25" s="18" t="s">
        <v>27</v>
      </c>
      <c r="E25" s="18" t="str">
        <f t="shared" si="0"/>
        <v>삼중</v>
      </c>
      <c r="F25" s="18" t="str">
        <f t="shared" si="1"/>
        <v>공기</v>
      </c>
      <c r="G25" s="18" t="s">
        <v>73</v>
      </c>
      <c r="H25" s="19">
        <v>0.68899999999999995</v>
      </c>
      <c r="I25" s="19">
        <v>0.56299999999999994</v>
      </c>
      <c r="J25" s="19">
        <v>0.69799999999999995</v>
      </c>
      <c r="K25" s="20">
        <v>0.1731</v>
      </c>
      <c r="L25" s="20">
        <v>0.1555</v>
      </c>
    </row>
    <row r="26" spans="1:12" x14ac:dyDescent="0.3">
      <c r="A26" s="17" t="s">
        <v>76</v>
      </c>
      <c r="B26" s="13" t="s">
        <v>25</v>
      </c>
      <c r="C26" s="18" t="s">
        <v>77</v>
      </c>
      <c r="D26" s="18" t="s">
        <v>27</v>
      </c>
      <c r="E26" s="18" t="str">
        <f t="shared" si="0"/>
        <v>삼중</v>
      </c>
      <c r="F26" s="18" t="str">
        <f t="shared" si="1"/>
        <v>공기</v>
      </c>
      <c r="G26" s="18" t="s">
        <v>73</v>
      </c>
      <c r="H26" s="19">
        <v>0.68400000000000005</v>
      </c>
      <c r="I26" s="19">
        <v>0.56299999999999994</v>
      </c>
      <c r="J26" s="19">
        <v>0.69799999999999995</v>
      </c>
      <c r="K26" s="20">
        <v>0.1731</v>
      </c>
      <c r="L26" s="20">
        <v>0.1555</v>
      </c>
    </row>
    <row r="27" spans="1:12" x14ac:dyDescent="0.3">
      <c r="A27" s="17" t="s">
        <v>78</v>
      </c>
      <c r="B27" s="13" t="s">
        <v>25</v>
      </c>
      <c r="C27" s="18" t="s">
        <v>79</v>
      </c>
      <c r="D27" s="18" t="s">
        <v>27</v>
      </c>
      <c r="E27" s="18" t="str">
        <f t="shared" si="0"/>
        <v>삼중</v>
      </c>
      <c r="F27" s="18" t="str">
        <f t="shared" si="1"/>
        <v>아르곤</v>
      </c>
      <c r="G27" s="18" t="s">
        <v>73</v>
      </c>
      <c r="H27" s="19">
        <v>0.70099999999999996</v>
      </c>
      <c r="I27" s="19">
        <v>0.56200000000000006</v>
      </c>
      <c r="J27" s="19">
        <v>0.69799999999999995</v>
      </c>
      <c r="K27" s="20">
        <v>0.1731</v>
      </c>
      <c r="L27" s="20">
        <v>0.1555</v>
      </c>
    </row>
    <row r="28" spans="1:12" x14ac:dyDescent="0.3">
      <c r="A28" s="17" t="s">
        <v>80</v>
      </c>
      <c r="B28" s="13" t="s">
        <v>81</v>
      </c>
      <c r="C28" s="18" t="s">
        <v>82</v>
      </c>
      <c r="D28" s="18" t="s">
        <v>83</v>
      </c>
      <c r="E28" s="18" t="str">
        <f t="shared" si="0"/>
        <v>삼중</v>
      </c>
      <c r="F28" s="18" t="str">
        <f t="shared" si="1"/>
        <v>아르곤</v>
      </c>
      <c r="G28" s="18" t="s">
        <v>73</v>
      </c>
      <c r="H28" s="19">
        <v>0.67900000000000005</v>
      </c>
      <c r="I28" s="19">
        <v>0.56299999999999994</v>
      </c>
      <c r="J28" s="21">
        <v>0.69799999999999995</v>
      </c>
      <c r="K28" s="20">
        <v>0.1731</v>
      </c>
      <c r="L28" s="20">
        <v>0.1555</v>
      </c>
    </row>
    <row r="29" spans="1:12" x14ac:dyDescent="0.3">
      <c r="A29" s="17" t="s">
        <v>84</v>
      </c>
      <c r="B29" s="13" t="s">
        <v>81</v>
      </c>
      <c r="C29" s="18" t="s">
        <v>85</v>
      </c>
      <c r="D29" s="18" t="s">
        <v>27</v>
      </c>
      <c r="E29" s="18" t="str">
        <f t="shared" si="0"/>
        <v>삼중</v>
      </c>
      <c r="F29" s="18" t="str">
        <f t="shared" si="1"/>
        <v>아르곤</v>
      </c>
      <c r="G29" s="18" t="s">
        <v>73</v>
      </c>
      <c r="H29" s="19">
        <v>0.67500000000000004</v>
      </c>
      <c r="I29" s="19">
        <v>0.56399999999999995</v>
      </c>
      <c r="J29" s="21">
        <v>0.69799999999999995</v>
      </c>
      <c r="K29" s="20">
        <v>0.1731</v>
      </c>
      <c r="L29" s="20">
        <v>0.1555</v>
      </c>
    </row>
    <row r="30" spans="1:12" x14ac:dyDescent="0.3">
      <c r="A30" s="17" t="s">
        <v>86</v>
      </c>
      <c r="B30" s="13" t="s">
        <v>25</v>
      </c>
      <c r="C30" s="18" t="s">
        <v>87</v>
      </c>
      <c r="D30" s="18" t="s">
        <v>27</v>
      </c>
      <c r="E30" s="18" t="str">
        <f t="shared" si="0"/>
        <v>삼중</v>
      </c>
      <c r="F30" s="18" t="str">
        <f t="shared" si="1"/>
        <v>공기</v>
      </c>
      <c r="G30" s="18" t="s">
        <v>28</v>
      </c>
      <c r="H30" s="19">
        <v>2.2679999999999998</v>
      </c>
      <c r="I30" s="19">
        <v>0.67800000000000005</v>
      </c>
      <c r="J30" s="21">
        <v>0.72799999999999998</v>
      </c>
      <c r="K30" s="20">
        <v>0.19639999999999999</v>
      </c>
      <c r="L30" s="20">
        <v>0.19639999999999999</v>
      </c>
    </row>
    <row r="31" spans="1:12" x14ac:dyDescent="0.3">
      <c r="A31" s="17" t="s">
        <v>88</v>
      </c>
      <c r="B31" s="13" t="s">
        <v>25</v>
      </c>
      <c r="C31" s="18" t="s">
        <v>89</v>
      </c>
      <c r="D31" s="18" t="s">
        <v>27</v>
      </c>
      <c r="E31" s="18" t="str">
        <f t="shared" si="0"/>
        <v>삼중</v>
      </c>
      <c r="F31" s="18" t="str">
        <f t="shared" si="1"/>
        <v>공기</v>
      </c>
      <c r="G31" s="18" t="s">
        <v>28</v>
      </c>
      <c r="H31" s="19">
        <v>1.877</v>
      </c>
      <c r="I31" s="19">
        <v>0.67800000000000005</v>
      </c>
      <c r="J31" s="21">
        <v>0.72799999999999998</v>
      </c>
      <c r="K31" s="20">
        <v>0.19639999999999999</v>
      </c>
      <c r="L31" s="20">
        <v>0.19639999999999999</v>
      </c>
    </row>
    <row r="32" spans="1:12" x14ac:dyDescent="0.3">
      <c r="A32" s="17" t="s">
        <v>90</v>
      </c>
      <c r="B32" s="13" t="s">
        <v>25</v>
      </c>
      <c r="C32" s="18" t="s">
        <v>91</v>
      </c>
      <c r="D32" s="18" t="s">
        <v>33</v>
      </c>
      <c r="E32" s="18" t="str">
        <f t="shared" si="0"/>
        <v>삼중</v>
      </c>
      <c r="F32" s="18" t="str">
        <f t="shared" si="1"/>
        <v>공기</v>
      </c>
      <c r="G32" s="18" t="s">
        <v>28</v>
      </c>
      <c r="H32" s="19">
        <v>1.8149999999999999</v>
      </c>
      <c r="I32" s="19">
        <v>0.67800000000000005</v>
      </c>
      <c r="J32" s="21">
        <v>0.72799999999999998</v>
      </c>
      <c r="K32" s="20">
        <v>0.19639999999999999</v>
      </c>
      <c r="L32" s="20">
        <v>0.19639999999999999</v>
      </c>
    </row>
    <row r="33" spans="1:12" x14ac:dyDescent="0.3">
      <c r="A33" s="17" t="s">
        <v>92</v>
      </c>
      <c r="B33" s="13" t="s">
        <v>52</v>
      </c>
      <c r="C33" s="18" t="s">
        <v>93</v>
      </c>
      <c r="D33" s="18" t="s">
        <v>27</v>
      </c>
      <c r="E33" s="18" t="str">
        <f t="shared" si="0"/>
        <v>삼중</v>
      </c>
      <c r="F33" s="18" t="str">
        <f t="shared" si="1"/>
        <v>아르곤</v>
      </c>
      <c r="G33" s="18" t="s">
        <v>28</v>
      </c>
      <c r="H33" s="19">
        <v>2.048</v>
      </c>
      <c r="I33" s="19">
        <v>0.67800000000000005</v>
      </c>
      <c r="J33" s="21">
        <v>0.72799999999999998</v>
      </c>
      <c r="K33" s="20">
        <v>0.19639999999999999</v>
      </c>
      <c r="L33" s="20">
        <v>0.19639999999999999</v>
      </c>
    </row>
    <row r="34" spans="1:12" x14ac:dyDescent="0.3">
      <c r="A34" s="17" t="s">
        <v>94</v>
      </c>
      <c r="B34" s="13" t="s">
        <v>25</v>
      </c>
      <c r="C34" s="18" t="s">
        <v>95</v>
      </c>
      <c r="D34" s="18" t="s">
        <v>27</v>
      </c>
      <c r="E34" s="18" t="str">
        <f t="shared" si="0"/>
        <v>삼중</v>
      </c>
      <c r="F34" s="18" t="str">
        <f t="shared" si="1"/>
        <v>아르곤</v>
      </c>
      <c r="G34" s="18" t="s">
        <v>28</v>
      </c>
      <c r="H34" s="19">
        <v>1.742</v>
      </c>
      <c r="I34" s="19">
        <v>0.67800000000000005</v>
      </c>
      <c r="J34" s="21">
        <v>0.72799999999999998</v>
      </c>
      <c r="K34" s="20">
        <v>0.19639999999999999</v>
      </c>
      <c r="L34" s="20">
        <v>0.19639999999999999</v>
      </c>
    </row>
    <row r="35" spans="1:12" x14ac:dyDescent="0.3">
      <c r="A35" s="17" t="s">
        <v>96</v>
      </c>
      <c r="B35" s="13" t="s">
        <v>25</v>
      </c>
      <c r="C35" s="18" t="s">
        <v>97</v>
      </c>
      <c r="D35" s="18" t="s">
        <v>27</v>
      </c>
      <c r="E35" s="18" t="str">
        <f t="shared" si="0"/>
        <v>삼중</v>
      </c>
      <c r="F35" s="18" t="str">
        <f t="shared" si="1"/>
        <v>아르곤</v>
      </c>
      <c r="G35" s="18" t="s">
        <v>28</v>
      </c>
      <c r="H35" s="19">
        <v>1.696</v>
      </c>
      <c r="I35" s="19">
        <v>0.67800000000000005</v>
      </c>
      <c r="J35" s="21">
        <v>0.72799999999999998</v>
      </c>
      <c r="K35" s="20">
        <v>0.19639999999999999</v>
      </c>
      <c r="L35" s="20">
        <v>0.19639999999999999</v>
      </c>
    </row>
    <row r="36" spans="1:12" x14ac:dyDescent="0.3">
      <c r="A36" s="17" t="s">
        <v>98</v>
      </c>
      <c r="B36" s="13" t="s">
        <v>25</v>
      </c>
      <c r="C36" s="18" t="s">
        <v>99</v>
      </c>
      <c r="D36" s="18" t="s">
        <v>27</v>
      </c>
      <c r="E36" s="18" t="str">
        <f t="shared" si="0"/>
        <v>삼중</v>
      </c>
      <c r="F36" s="18" t="str">
        <f t="shared" si="1"/>
        <v>공기</v>
      </c>
      <c r="G36" s="18" t="s">
        <v>46</v>
      </c>
      <c r="H36" s="19">
        <v>1.595</v>
      </c>
      <c r="I36" s="19">
        <v>0.51600000000000001</v>
      </c>
      <c r="J36" s="21">
        <v>0.67100000000000004</v>
      </c>
      <c r="K36" s="20">
        <v>0.13400000000000001</v>
      </c>
      <c r="L36" s="20">
        <v>0.13400000000000001</v>
      </c>
    </row>
    <row r="37" spans="1:12" x14ac:dyDescent="0.3">
      <c r="A37" s="17" t="s">
        <v>100</v>
      </c>
      <c r="B37" s="13" t="s">
        <v>25</v>
      </c>
      <c r="C37" s="18" t="s">
        <v>101</v>
      </c>
      <c r="D37" s="18" t="s">
        <v>27</v>
      </c>
      <c r="E37" s="18" t="str">
        <f t="shared" si="0"/>
        <v>삼중</v>
      </c>
      <c r="F37" s="18" t="str">
        <f t="shared" si="1"/>
        <v>공기</v>
      </c>
      <c r="G37" s="18" t="s">
        <v>46</v>
      </c>
      <c r="H37" s="19">
        <v>1.002</v>
      </c>
      <c r="I37" s="19">
        <v>0.51</v>
      </c>
      <c r="J37" s="21">
        <v>0.67100000000000004</v>
      </c>
      <c r="K37" s="20">
        <v>0.13400000000000001</v>
      </c>
      <c r="L37" s="20">
        <v>0.13400000000000001</v>
      </c>
    </row>
    <row r="38" spans="1:12" x14ac:dyDescent="0.3">
      <c r="A38" s="17" t="s">
        <v>102</v>
      </c>
      <c r="B38" s="13" t="s">
        <v>25</v>
      </c>
      <c r="C38" s="18" t="s">
        <v>103</v>
      </c>
      <c r="D38" s="18" t="s">
        <v>27</v>
      </c>
      <c r="E38" s="18" t="str">
        <f t="shared" si="0"/>
        <v>삼중</v>
      </c>
      <c r="F38" s="18" t="str">
        <f t="shared" si="1"/>
        <v>공기</v>
      </c>
      <c r="G38" s="18" t="s">
        <v>46</v>
      </c>
      <c r="H38" s="19">
        <v>0.90700000000000003</v>
      </c>
      <c r="I38" s="19">
        <v>0.50900000000000001</v>
      </c>
      <c r="J38" s="21">
        <v>0.67100000000000004</v>
      </c>
      <c r="K38" s="20">
        <v>0.13400000000000001</v>
      </c>
      <c r="L38" s="20">
        <v>0.13400000000000001</v>
      </c>
    </row>
    <row r="39" spans="1:12" x14ac:dyDescent="0.3">
      <c r="A39" s="17" t="s">
        <v>104</v>
      </c>
      <c r="B39" s="13" t="s">
        <v>25</v>
      </c>
      <c r="C39" s="18" t="s">
        <v>105</v>
      </c>
      <c r="D39" s="18" t="s">
        <v>27</v>
      </c>
      <c r="E39" s="18" t="str">
        <f t="shared" si="0"/>
        <v>삼중</v>
      </c>
      <c r="F39" s="18" t="str">
        <f t="shared" si="1"/>
        <v>아르곤</v>
      </c>
      <c r="G39" s="18" t="s">
        <v>46</v>
      </c>
      <c r="H39" s="19">
        <v>1.264</v>
      </c>
      <c r="I39" s="19">
        <v>0.51300000000000001</v>
      </c>
      <c r="J39" s="21">
        <v>0.67100000000000004</v>
      </c>
      <c r="K39" s="20">
        <v>0.13400000000000001</v>
      </c>
      <c r="L39" s="20">
        <v>0.13400000000000001</v>
      </c>
    </row>
    <row r="40" spans="1:12" x14ac:dyDescent="0.3">
      <c r="A40" s="17" t="s">
        <v>106</v>
      </c>
      <c r="B40" s="13" t="s">
        <v>25</v>
      </c>
      <c r="C40" s="18" t="s">
        <v>107</v>
      </c>
      <c r="D40" s="18" t="s">
        <v>27</v>
      </c>
      <c r="E40" s="18" t="str">
        <f t="shared" si="0"/>
        <v>삼중</v>
      </c>
      <c r="F40" s="18" t="str">
        <f t="shared" si="1"/>
        <v>아르곤</v>
      </c>
      <c r="G40" s="18" t="s">
        <v>46</v>
      </c>
      <c r="H40" s="19">
        <v>0.78900000000000003</v>
      </c>
      <c r="I40" s="19">
        <v>0.50800000000000001</v>
      </c>
      <c r="J40" s="21">
        <v>0.67100000000000004</v>
      </c>
      <c r="K40" s="20">
        <v>0.13400000000000001</v>
      </c>
      <c r="L40" s="20">
        <v>0.13400000000000001</v>
      </c>
    </row>
    <row r="41" spans="1:12" x14ac:dyDescent="0.3">
      <c r="A41" s="17" t="s">
        <v>108</v>
      </c>
      <c r="B41" s="13" t="s">
        <v>25</v>
      </c>
      <c r="C41" s="18" t="s">
        <v>109</v>
      </c>
      <c r="D41" s="18" t="s">
        <v>27</v>
      </c>
      <c r="E41" s="18" t="str">
        <f t="shared" si="0"/>
        <v>삼중</v>
      </c>
      <c r="F41" s="18" t="str">
        <f t="shared" si="1"/>
        <v>아르곤</v>
      </c>
      <c r="G41" s="18" t="s">
        <v>46</v>
      </c>
      <c r="H41" s="19">
        <v>0.71799999999999997</v>
      </c>
      <c r="I41" s="19">
        <v>0.50700000000000001</v>
      </c>
      <c r="J41" s="21">
        <v>0.67100000000000004</v>
      </c>
      <c r="K41" s="20">
        <v>0.13400000000000001</v>
      </c>
      <c r="L41" s="20">
        <v>0.13400000000000001</v>
      </c>
    </row>
    <row r="42" spans="1:12" x14ac:dyDescent="0.3">
      <c r="A42" s="17" t="s">
        <v>110</v>
      </c>
      <c r="B42" s="13" t="s">
        <v>25</v>
      </c>
      <c r="C42" s="18" t="s">
        <v>111</v>
      </c>
      <c r="D42" s="18" t="s">
        <v>27</v>
      </c>
      <c r="E42" s="18" t="str">
        <f t="shared" si="0"/>
        <v>삼중</v>
      </c>
      <c r="F42" s="18" t="str">
        <f t="shared" si="1"/>
        <v>공기</v>
      </c>
      <c r="G42" s="18" t="s">
        <v>46</v>
      </c>
      <c r="H42" s="19">
        <v>1.5429999999999999</v>
      </c>
      <c r="I42" s="19">
        <v>0.22900000000000001</v>
      </c>
      <c r="J42" s="21">
        <v>0.189</v>
      </c>
      <c r="K42" s="20">
        <v>0.37080000000000002</v>
      </c>
      <c r="L42" s="20">
        <v>0.37080000000000002</v>
      </c>
    </row>
    <row r="43" spans="1:12" x14ac:dyDescent="0.3">
      <c r="A43" s="17" t="s">
        <v>112</v>
      </c>
      <c r="B43" s="13" t="s">
        <v>52</v>
      </c>
      <c r="C43" s="18" t="s">
        <v>113</v>
      </c>
      <c r="D43" s="18" t="s">
        <v>33</v>
      </c>
      <c r="E43" s="18" t="str">
        <f t="shared" si="0"/>
        <v>삼중</v>
      </c>
      <c r="F43" s="18" t="str">
        <f t="shared" si="1"/>
        <v>공기</v>
      </c>
      <c r="G43" s="18" t="s">
        <v>46</v>
      </c>
      <c r="H43" s="19">
        <v>0.93200000000000005</v>
      </c>
      <c r="I43" s="19">
        <v>0.21299999999999999</v>
      </c>
      <c r="J43" s="21">
        <v>0.189</v>
      </c>
      <c r="K43" s="20">
        <v>0.37080000000000002</v>
      </c>
      <c r="L43" s="20">
        <v>0.37080000000000002</v>
      </c>
    </row>
    <row r="44" spans="1:12" x14ac:dyDescent="0.3">
      <c r="A44" s="17" t="s">
        <v>114</v>
      </c>
      <c r="B44" s="13" t="s">
        <v>25</v>
      </c>
      <c r="C44" s="18" t="s">
        <v>115</v>
      </c>
      <c r="D44" s="18" t="s">
        <v>116</v>
      </c>
      <c r="E44" s="18" t="str">
        <f t="shared" si="0"/>
        <v>삼중</v>
      </c>
      <c r="F44" s="18" t="str">
        <f t="shared" si="1"/>
        <v>공기</v>
      </c>
      <c r="G44" s="18" t="s">
        <v>46</v>
      </c>
      <c r="H44" s="19">
        <v>0.83499999999999996</v>
      </c>
      <c r="I44" s="19">
        <v>0.21</v>
      </c>
      <c r="J44" s="21">
        <v>0.189</v>
      </c>
      <c r="K44" s="20">
        <v>0.37080000000000002</v>
      </c>
      <c r="L44" s="20">
        <v>0.37080000000000002</v>
      </c>
    </row>
    <row r="45" spans="1:12" x14ac:dyDescent="0.3">
      <c r="A45" s="17" t="s">
        <v>117</v>
      </c>
      <c r="B45" s="13" t="s">
        <v>25</v>
      </c>
      <c r="C45" s="18" t="s">
        <v>118</v>
      </c>
      <c r="D45" s="18" t="s">
        <v>27</v>
      </c>
      <c r="E45" s="18" t="str">
        <f t="shared" si="0"/>
        <v>삼중</v>
      </c>
      <c r="F45" s="18" t="str">
        <f t="shared" si="1"/>
        <v>아르곤</v>
      </c>
      <c r="G45" s="18" t="s">
        <v>46</v>
      </c>
      <c r="H45" s="19">
        <v>1.2030000000000001</v>
      </c>
      <c r="I45" s="19">
        <v>0.22</v>
      </c>
      <c r="J45" s="21">
        <v>0.189</v>
      </c>
      <c r="K45" s="20">
        <v>0.37080000000000002</v>
      </c>
      <c r="L45" s="20">
        <v>0.37080000000000002</v>
      </c>
    </row>
    <row r="46" spans="1:12" x14ac:dyDescent="0.3">
      <c r="A46" s="17" t="s">
        <v>119</v>
      </c>
      <c r="B46" s="13" t="s">
        <v>81</v>
      </c>
      <c r="C46" s="18" t="s">
        <v>120</v>
      </c>
      <c r="D46" s="18" t="s">
        <v>83</v>
      </c>
      <c r="E46" s="18" t="str">
        <f t="shared" si="0"/>
        <v>삼중</v>
      </c>
      <c r="F46" s="18" t="str">
        <f t="shared" si="1"/>
        <v>아르곤</v>
      </c>
      <c r="G46" s="18" t="s">
        <v>46</v>
      </c>
      <c r="H46" s="19">
        <v>0.71199999999999997</v>
      </c>
      <c r="I46" s="19">
        <v>0.20599999999999999</v>
      </c>
      <c r="J46" s="21">
        <v>0.189</v>
      </c>
      <c r="K46" s="20">
        <v>0.37080000000000002</v>
      </c>
      <c r="L46" s="20">
        <v>0.37080000000000002</v>
      </c>
    </row>
    <row r="47" spans="1:12" x14ac:dyDescent="0.3">
      <c r="A47" s="22" t="s">
        <v>121</v>
      </c>
      <c r="B47" s="13" t="s">
        <v>25</v>
      </c>
      <c r="C47" s="23" t="s">
        <v>122</v>
      </c>
      <c r="D47" s="23" t="s">
        <v>27</v>
      </c>
      <c r="E47" s="23" t="str">
        <f t="shared" si="0"/>
        <v>삼중</v>
      </c>
      <c r="F47" s="23" t="str">
        <f t="shared" si="1"/>
        <v>아르곤</v>
      </c>
      <c r="G47" s="23" t="s">
        <v>46</v>
      </c>
      <c r="H47" s="24">
        <v>0.64</v>
      </c>
      <c r="I47" s="24">
        <v>0.20399999999999999</v>
      </c>
      <c r="J47" s="25">
        <v>0.189</v>
      </c>
      <c r="K47" s="26">
        <v>0.37080000000000002</v>
      </c>
      <c r="L47" s="26">
        <v>0.37080000000000002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2023-04-28T02:23:01Z</dcterms:created>
  <dcterms:modified xsi:type="dcterms:W3CDTF">2023-04-28T02:23:25Z</dcterms:modified>
</cp:coreProperties>
</file>