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370" windowHeight="6585" activeTab="2"/>
  </bookViews>
  <sheets>
    <sheet name="선형열교" sheetId="2" r:id="rId1"/>
    <sheet name="이미지_선형열교" sheetId="6" r:id="rId2"/>
    <sheet name="이미지_바닥유형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6" l="1"/>
  <c r="B3" i="6"/>
  <c r="C3" i="6"/>
  <c r="D3" i="6"/>
  <c r="E3" i="6"/>
  <c r="F3" i="6"/>
  <c r="A4" i="6"/>
  <c r="B4" i="6"/>
  <c r="C4" i="6"/>
  <c r="D4" i="6"/>
  <c r="E4" i="6"/>
  <c r="F4" i="6"/>
  <c r="A5" i="6"/>
  <c r="B5" i="6"/>
  <c r="C5" i="6"/>
  <c r="D5" i="6"/>
  <c r="E5" i="6"/>
  <c r="F5" i="6"/>
  <c r="B2" i="6"/>
  <c r="C2" i="6"/>
  <c r="D2" i="6"/>
  <c r="E2" i="6"/>
  <c r="F2" i="6"/>
  <c r="A2" i="6" l="1"/>
  <c r="G3" i="2" l="1"/>
  <c r="G4" i="2"/>
  <c r="G5" i="2"/>
  <c r="G2" i="2"/>
</calcChain>
</file>

<file path=xl/sharedStrings.xml><?xml version="1.0" encoding="utf-8"?>
<sst xmlns="http://schemas.openxmlformats.org/spreadsheetml/2006/main" count="76" uniqueCount="49">
  <si>
    <t>신규</t>
    <phoneticPr fontId="3" type="noConversion"/>
  </si>
  <si>
    <t>번호</t>
  </si>
  <si>
    <t>제품명</t>
  </si>
  <si>
    <t>제조사</t>
  </si>
  <si>
    <t>구조유형</t>
  </si>
  <si>
    <t>열교유형</t>
  </si>
  <si>
    <t>A</t>
  </si>
  <si>
    <t>B</t>
  </si>
  <si>
    <t>C</t>
  </si>
  <si>
    <t>수직간격</t>
  </si>
  <si>
    <t>수평간격</t>
  </si>
  <si>
    <t>IPAZEB</t>
  </si>
  <si>
    <t>콘크리트조</t>
  </si>
  <si>
    <t>선형열관류율</t>
  </si>
  <si>
    <t>TBS_002</t>
  </si>
  <si>
    <t>TBS_003</t>
  </si>
  <si>
    <t>TBS_004</t>
  </si>
  <si>
    <t>이미지_열교구조유형</t>
    <phoneticPr fontId="3" type="noConversion"/>
  </si>
  <si>
    <t>이미지_고정유형</t>
    <phoneticPr fontId="3" type="noConversion"/>
  </si>
  <si>
    <t>DB유형</t>
    <phoneticPr fontId="3" type="noConversion"/>
  </si>
  <si>
    <t>표준</t>
    <phoneticPr fontId="3" type="noConversion"/>
  </si>
  <si>
    <t>표준</t>
    <phoneticPr fontId="3" type="noConversion"/>
  </si>
  <si>
    <t>표준</t>
    <phoneticPr fontId="3" type="noConversion"/>
  </si>
  <si>
    <t>DB유형</t>
    <phoneticPr fontId="3" type="noConversion"/>
  </si>
  <si>
    <t>TBS_001</t>
    <phoneticPr fontId="3" type="noConversion"/>
  </si>
  <si>
    <t>외단열</t>
  </si>
  <si>
    <t>기존바닥</t>
  </si>
  <si>
    <t>외부덧댐형</t>
  </si>
  <si>
    <t>보선형(끊김)</t>
  </si>
  <si>
    <t>보션형(연결)</t>
  </si>
  <si>
    <t>번호</t>
    <phoneticPr fontId="3" type="noConversion"/>
  </si>
  <si>
    <t>지면위</t>
    <phoneticPr fontId="3" type="noConversion"/>
  </si>
  <si>
    <t>지면위</t>
    <phoneticPr fontId="3" type="noConversion"/>
  </si>
  <si>
    <t>지면위</t>
    <phoneticPr fontId="3" type="noConversion"/>
  </si>
  <si>
    <t>내부덧댐</t>
    <phoneticPr fontId="3" type="noConversion"/>
  </si>
  <si>
    <t>기존바닥</t>
    <phoneticPr fontId="3" type="noConversion"/>
  </si>
  <si>
    <t>신규</t>
    <phoneticPr fontId="3" type="noConversion"/>
  </si>
  <si>
    <t>내부더댐</t>
    <phoneticPr fontId="3" type="noConversion"/>
  </si>
  <si>
    <t>신규</t>
    <phoneticPr fontId="3" type="noConversion"/>
  </si>
  <si>
    <t>외부덧댐</t>
    <phoneticPr fontId="3" type="noConversion"/>
  </si>
  <si>
    <t>외부덧댐</t>
    <phoneticPr fontId="3" type="noConversion"/>
  </si>
  <si>
    <t>내부덧댐</t>
    <phoneticPr fontId="3" type="noConversion"/>
  </si>
  <si>
    <t>신규</t>
  </si>
  <si>
    <t>단열지하실</t>
  </si>
  <si>
    <t>비단열지하실</t>
  </si>
  <si>
    <t>바닥(외기)</t>
  </si>
  <si>
    <t>기초 설치</t>
    <phoneticPr fontId="3" type="noConversion"/>
  </si>
  <si>
    <t>바닥유형</t>
    <phoneticPr fontId="3" type="noConversion"/>
  </si>
  <si>
    <t>이미지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</si>
</sst>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7" formatCode="0.00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바탕체"/>
      <family val="2"/>
      <charset val="129"/>
    </font>
    <font>
      <sz val="10"/>
      <name val="Arial"/>
      <family val="2"/>
    </font>
    <font>
      <sz val="10"/>
      <name val="MS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69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0" fillId="0" borderId="0">
      <alignment vertical="center"/>
    </xf>
    <xf numFmtId="0" fontId="1" fillId="3" borderId="1">
      <alignment horizontal="center" vertical="center"/>
    </xf>
    <xf numFmtId="0" fontId="9" fillId="9" borderId="6">
      <alignment horizontal="center" vertical="center"/>
    </xf>
    <xf numFmtId="0" fontId="9" fillId="8" borderId="6">
      <alignment horizontal="center" vertical="center"/>
    </xf>
    <xf numFmtId="0" fontId="9" fillId="10" borderId="6">
      <alignment horizontal="center"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7" fillId="7" borderId="2" xfId="0" applyFont="1" applyFill="1" applyBorder="1">
      <alignment vertical="center"/>
    </xf>
    <xf numFmtId="0" fontId="6" fillId="7" borderId="2" xfId="0" applyFont="1" applyFill="1" applyBorder="1">
      <alignment vertical="center"/>
    </xf>
    <xf numFmtId="0" fontId="7" fillId="6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7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>
      <alignment vertical="center"/>
    </xf>
  </cellXfs>
  <cellStyles count="69">
    <cellStyle name="Standard 2" xfId="68"/>
    <cellStyle name="Standard_HWB Kurzverf. Formular" xfId="64"/>
    <cellStyle name="계산값" xfId="8"/>
    <cellStyle name="보통 2" xfId="67"/>
    <cellStyle name="선택값" xfId="6"/>
    <cellStyle name="쉼표 [0] 2" xfId="12"/>
    <cellStyle name="쉼표 [0] 2 2" xfId="15"/>
    <cellStyle name="쉼표 [0] 2 2 2" xfId="21"/>
    <cellStyle name="쉼표 [0] 2 2 2 2" xfId="35"/>
    <cellStyle name="쉼표 [0] 2 2 2 2 2" xfId="61"/>
    <cellStyle name="쉼표 [0] 2 2 2 3" xfId="48"/>
    <cellStyle name="쉼표 [0] 2 2 3" xfId="29"/>
    <cellStyle name="쉼표 [0] 2 2 3 2" xfId="55"/>
    <cellStyle name="쉼표 [0] 2 2 4" xfId="42"/>
    <cellStyle name="쉼표 [0] 2 3" xfId="18"/>
    <cellStyle name="쉼표 [0] 2 3 2" xfId="32"/>
    <cellStyle name="쉼표 [0] 2 3 2 2" xfId="58"/>
    <cellStyle name="쉼표 [0] 2 3 3" xfId="45"/>
    <cellStyle name="쉼표 [0] 2 4" xfId="26"/>
    <cellStyle name="쉼표 [0] 2 4 2" xfId="52"/>
    <cellStyle name="쉼표 [0] 2 5" xfId="39"/>
    <cellStyle name="쉼표 [0] 2 6" xfId="66"/>
    <cellStyle name="쉼표 [0] 3" xfId="11"/>
    <cellStyle name="쉼표 [0] 3 2" xfId="14"/>
    <cellStyle name="쉼표 [0] 3 2 2" xfId="20"/>
    <cellStyle name="쉼표 [0] 3 2 2 2" xfId="34"/>
    <cellStyle name="쉼표 [0] 3 2 2 2 2" xfId="60"/>
    <cellStyle name="쉼표 [0] 3 2 2 3" xfId="47"/>
    <cellStyle name="쉼표 [0] 3 2 3" xfId="28"/>
    <cellStyle name="쉼표 [0] 3 2 3 2" xfId="54"/>
    <cellStyle name="쉼표 [0] 3 2 4" xfId="41"/>
    <cellStyle name="쉼표 [0] 3 3" xfId="17"/>
    <cellStyle name="쉼표 [0] 3 3 2" xfId="31"/>
    <cellStyle name="쉼표 [0] 3 3 2 2" xfId="57"/>
    <cellStyle name="쉼표 [0] 3 3 3" xfId="44"/>
    <cellStyle name="쉼표 [0] 3 4" xfId="25"/>
    <cellStyle name="쉼표 [0] 3 4 2" xfId="51"/>
    <cellStyle name="쉼표 [0] 3 5" xfId="38"/>
    <cellStyle name="쉼표 [0] 4" xfId="10"/>
    <cellStyle name="쉼표 [0] 4 2" xfId="16"/>
    <cellStyle name="쉼표 [0] 4 2 2" xfId="30"/>
    <cellStyle name="쉼표 [0] 4 2 2 2" xfId="56"/>
    <cellStyle name="쉼표 [0] 4 2 3" xfId="43"/>
    <cellStyle name="쉼표 [0] 4 3" xfId="24"/>
    <cellStyle name="쉼표 [0] 4 3 2" xfId="50"/>
    <cellStyle name="쉼표 [0] 4 4" xfId="37"/>
    <cellStyle name="쉼표 [0] 5" xfId="13"/>
    <cellStyle name="쉼표 [0] 5 2" xfId="19"/>
    <cellStyle name="쉼표 [0] 5 2 2" xfId="33"/>
    <cellStyle name="쉼표 [0] 5 2 2 2" xfId="59"/>
    <cellStyle name="쉼표 [0] 5 2 3" xfId="46"/>
    <cellStyle name="쉼표 [0] 5 3" xfId="27"/>
    <cellStyle name="쉼표 [0] 5 3 2" xfId="53"/>
    <cellStyle name="쉼표 [0] 5 4" xfId="40"/>
    <cellStyle name="쉼표 [0] 6" xfId="23"/>
    <cellStyle name="쉼표 [0] 6 2" xfId="36"/>
    <cellStyle name="쉼표 [0] 6 2 2" xfId="62"/>
    <cellStyle name="쉼표 [0] 6 3" xfId="49"/>
    <cellStyle name="쉼표 [0] 7" xfId="65"/>
    <cellStyle name="쉼표 [0] 8" xfId="63"/>
    <cellStyle name="쉼표 [0] 9" xfId="2"/>
    <cellStyle name="입력값" xfId="7"/>
    <cellStyle name="입력값 2" xfId="5"/>
    <cellStyle name="표준" xfId="0" builtinId="0"/>
    <cellStyle name="표준 2" xfId="1"/>
    <cellStyle name="표준 2 2" xfId="3"/>
    <cellStyle name="표준 2 3" xfId="9"/>
    <cellStyle name="표준 2 3 2" xfId="22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15875</xdr:colOff>
      <xdr:row>2</xdr:row>
      <xdr:rowOff>95250</xdr:rowOff>
    </xdr:from>
    <xdr:ext cx="1945831" cy="2079625"/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2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226175" y="381000"/>
          <a:ext cx="1945831" cy="207962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206375</xdr:rowOff>
    </xdr:from>
    <xdr:ext cx="1920847" cy="1825625"/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2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210300" y="2778125"/>
          <a:ext cx="1920847" cy="1825625"/>
        </a:xfrm>
        <a:prstGeom prst="rect">
          <a:avLst/>
        </a:prstGeom>
      </xdr:spPr>
    </xdr:pic>
    <xdr:clientData/>
  </xdr:oneCellAnchor>
  <xdr:oneCellAnchor>
    <xdr:from>
      <xdr:col>6</xdr:col>
      <xdr:colOff>15875</xdr:colOff>
      <xdr:row>1</xdr:row>
      <xdr:rowOff>95250</xdr:rowOff>
    </xdr:from>
    <xdr:ext cx="1945831" cy="2079625"/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2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01284" y="2589068"/>
          <a:ext cx="1945831" cy="207962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206375</xdr:rowOff>
    </xdr:from>
    <xdr:ext cx="1920847" cy="1825625"/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2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485409" y="4986193"/>
          <a:ext cx="1920847" cy="1825625"/>
        </a:xfrm>
        <a:prstGeom prst="rect">
          <a:avLst/>
        </a:prstGeom>
      </xdr:spPr>
    </xdr:pic>
    <xdr:clientData/>
  </xdr:oneCellAnchor>
  <xdr:oneCellAnchor>
    <xdr:from>
      <xdr:col>8</xdr:col>
      <xdr:colOff>18976</xdr:colOff>
      <xdr:row>1</xdr:row>
      <xdr:rowOff>523875</xdr:rowOff>
    </xdr:from>
    <xdr:ext cx="1943401" cy="1270235"/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2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972726" y="809625"/>
          <a:ext cx="1943401" cy="1270235"/>
        </a:xfrm>
        <a:prstGeom prst="rect">
          <a:avLst/>
        </a:prstGeom>
      </xdr:spPr>
    </xdr:pic>
    <xdr:clientData/>
  </xdr:oneCellAnchor>
  <xdr:oneCellAnchor>
    <xdr:from>
      <xdr:col>8</xdr:col>
      <xdr:colOff>9525</xdr:colOff>
      <xdr:row>2</xdr:row>
      <xdr:rowOff>476250</xdr:rowOff>
    </xdr:from>
    <xdr:ext cx="1984376" cy="1240967"/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2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963275" y="3048000"/>
          <a:ext cx="1984376" cy="1240967"/>
        </a:xfrm>
        <a:prstGeom prst="rect">
          <a:avLst/>
        </a:prstGeom>
      </xdr:spPr>
    </xdr:pic>
    <xdr:clientData/>
  </xdr:oneCellAnchor>
  <xdr:oneCellAnchor>
    <xdr:from>
      <xdr:col>8</xdr:col>
      <xdr:colOff>18976</xdr:colOff>
      <xdr:row>3</xdr:row>
      <xdr:rowOff>523875</xdr:rowOff>
    </xdr:from>
    <xdr:ext cx="1943401" cy="1270235"/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2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972726" y="809625"/>
          <a:ext cx="1943401" cy="1270235"/>
        </a:xfrm>
        <a:prstGeom prst="rect">
          <a:avLst/>
        </a:prstGeom>
      </xdr:spPr>
    </xdr:pic>
    <xdr:clientData/>
  </xdr:oneCellAnchor>
  <xdr:oneCellAnchor>
    <xdr:from>
      <xdr:col>8</xdr:col>
      <xdr:colOff>9525</xdr:colOff>
      <xdr:row>4</xdr:row>
      <xdr:rowOff>476250</xdr:rowOff>
    </xdr:from>
    <xdr:ext cx="1984376" cy="1240967"/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2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963275" y="3048000"/>
          <a:ext cx="1984376" cy="12409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730251</xdr:colOff>
      <xdr:row>0</xdr:row>
      <xdr:rowOff>203718</xdr:rowOff>
    </xdr:from>
    <xdr:to>
      <xdr:col>5</xdr:col>
      <xdr:colOff>281698</xdr:colOff>
      <xdr:row>2</xdr:row>
      <xdr:rowOff>89306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pSpPr/>
      </xdr:nvGrpSpPr>
      <xdr:grpSpPr>
        <a:xfrm>
          <a:off x="2359026" y="203718"/>
          <a:ext cx="2418472" cy="2381138"/>
          <a:chOff x="3868995" y="-189244"/>
          <a:chExt cx="1740218" cy="1763554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2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3868995" y="-189244"/>
            <a:ext cx="1740218" cy="1763554"/>
          </a:xfrm>
          <a:prstGeom prst="rect">
            <a:avLst/>
          </a:prstGeom>
        </xdr:spPr>
      </xdr:pic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SpPr/>
        </xdr:nvSpPr>
        <xdr:spPr>
          <a:xfrm>
            <a:off x="4739104" y="650624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1" name="자유형: 도형 58">
            <a:extLst>
              <a:ext uri="{FF2B5EF4-FFF2-40B4-BE49-F238E27FC236}">
                <a16:creationId xmlns:a16="http://schemas.microsoft.com/office/drawing/2014/main" id="{00000000-0008-0000-2200-000005000000}"/>
              </a:ext>
            </a:extLst>
          </xdr:cNvPr>
          <xdr:cNvSpPr/>
        </xdr:nvSpPr>
        <xdr:spPr>
          <a:xfrm>
            <a:off x="4739104" y="1100249"/>
            <a:ext cx="190705" cy="193790"/>
          </a:xfrm>
          <a:custGeom>
            <a:avLst/>
            <a:gdLst>
              <a:gd name="connsiteX0" fmla="*/ 47676 w 190705"/>
              <a:gd name="connsiteY0" fmla="*/ 0 h 193790"/>
              <a:gd name="connsiteX1" fmla="*/ 139971 w 190705"/>
              <a:gd name="connsiteY1" fmla="*/ 19578 h 193790"/>
              <a:gd name="connsiteX2" fmla="*/ 143029 w 190705"/>
              <a:gd name="connsiteY2" fmla="*/ 18495 h 193790"/>
              <a:gd name="connsiteX3" fmla="*/ 143029 w 190705"/>
              <a:gd name="connsiteY3" fmla="*/ 98438 h 193790"/>
              <a:gd name="connsiteX4" fmla="*/ 190705 w 190705"/>
              <a:gd name="connsiteY4" fmla="*/ 98438 h 193790"/>
              <a:gd name="connsiteX5" fmla="*/ 95353 w 190705"/>
              <a:gd name="connsiteY5" fmla="*/ 193790 h 193790"/>
              <a:gd name="connsiteX6" fmla="*/ 0 w 190705"/>
              <a:gd name="connsiteY6" fmla="*/ 98438 h 193790"/>
              <a:gd name="connsiteX7" fmla="*/ 47676 w 190705"/>
              <a:gd name="connsiteY7" fmla="*/ 98438 h 1937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90705" h="193790">
                <a:moveTo>
                  <a:pt x="47676" y="0"/>
                </a:moveTo>
                <a:lnTo>
                  <a:pt x="139971" y="19578"/>
                </a:lnTo>
                <a:lnTo>
                  <a:pt x="143029" y="18495"/>
                </a:lnTo>
                <a:lnTo>
                  <a:pt x="143029" y="98438"/>
                </a:lnTo>
                <a:lnTo>
                  <a:pt x="190705" y="98438"/>
                </a:lnTo>
                <a:lnTo>
                  <a:pt x="95353" y="193790"/>
                </a:lnTo>
                <a:lnTo>
                  <a:pt x="0" y="98438"/>
                </a:lnTo>
                <a:lnTo>
                  <a:pt x="47676" y="9843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748770</xdr:colOff>
      <xdr:row>1</xdr:row>
      <xdr:rowOff>2238376</xdr:rowOff>
    </xdr:from>
    <xdr:to>
      <xdr:col>5</xdr:col>
      <xdr:colOff>309508</xdr:colOff>
      <xdr:row>3</xdr:row>
      <xdr:rowOff>40100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pSpPr/>
      </xdr:nvGrpSpPr>
      <xdr:grpSpPr>
        <a:xfrm>
          <a:off x="2377545" y="2447926"/>
          <a:ext cx="2427763" cy="2373724"/>
          <a:chOff x="5614676" y="-189244"/>
          <a:chExt cx="1746885" cy="1703546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5614676" y="-189244"/>
            <a:ext cx="1746885" cy="1703546"/>
          </a:xfrm>
          <a:prstGeom prst="rect">
            <a:avLst/>
          </a:prstGeom>
        </xdr:spPr>
      </xdr:pic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2200-000008000000}"/>
              </a:ext>
            </a:extLst>
          </xdr:cNvPr>
          <xdr:cNvSpPr/>
        </xdr:nvSpPr>
        <xdr:spPr>
          <a:xfrm>
            <a:off x="6479322" y="636571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" name="자유형: 도형 55">
            <a:extLst>
              <a:ext uri="{FF2B5EF4-FFF2-40B4-BE49-F238E27FC236}">
                <a16:creationId xmlns:a16="http://schemas.microsoft.com/office/drawing/2014/main" id="{00000000-0008-0000-2200-000009000000}"/>
              </a:ext>
            </a:extLst>
          </xdr:cNvPr>
          <xdr:cNvSpPr/>
        </xdr:nvSpPr>
        <xdr:spPr>
          <a:xfrm>
            <a:off x="6486146" y="1041814"/>
            <a:ext cx="190705" cy="193790"/>
          </a:xfrm>
          <a:custGeom>
            <a:avLst/>
            <a:gdLst>
              <a:gd name="connsiteX0" fmla="*/ 47676 w 190705"/>
              <a:gd name="connsiteY0" fmla="*/ 0 h 193790"/>
              <a:gd name="connsiteX1" fmla="*/ 139971 w 190705"/>
              <a:gd name="connsiteY1" fmla="*/ 19578 h 193790"/>
              <a:gd name="connsiteX2" fmla="*/ 143029 w 190705"/>
              <a:gd name="connsiteY2" fmla="*/ 18495 h 193790"/>
              <a:gd name="connsiteX3" fmla="*/ 143029 w 190705"/>
              <a:gd name="connsiteY3" fmla="*/ 98438 h 193790"/>
              <a:gd name="connsiteX4" fmla="*/ 190705 w 190705"/>
              <a:gd name="connsiteY4" fmla="*/ 98438 h 193790"/>
              <a:gd name="connsiteX5" fmla="*/ 95353 w 190705"/>
              <a:gd name="connsiteY5" fmla="*/ 193790 h 193790"/>
              <a:gd name="connsiteX6" fmla="*/ 0 w 190705"/>
              <a:gd name="connsiteY6" fmla="*/ 98438 h 193790"/>
              <a:gd name="connsiteX7" fmla="*/ 47676 w 190705"/>
              <a:gd name="connsiteY7" fmla="*/ 98438 h 1937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90705" h="193790">
                <a:moveTo>
                  <a:pt x="47676" y="0"/>
                </a:moveTo>
                <a:lnTo>
                  <a:pt x="139971" y="19578"/>
                </a:lnTo>
                <a:lnTo>
                  <a:pt x="143029" y="18495"/>
                </a:lnTo>
                <a:lnTo>
                  <a:pt x="143029" y="98438"/>
                </a:lnTo>
                <a:lnTo>
                  <a:pt x="190705" y="98438"/>
                </a:lnTo>
                <a:lnTo>
                  <a:pt x="95353" y="193790"/>
                </a:lnTo>
                <a:lnTo>
                  <a:pt x="0" y="98438"/>
                </a:lnTo>
                <a:lnTo>
                  <a:pt x="47676" y="9843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871316</xdr:colOff>
      <xdr:row>2</xdr:row>
      <xdr:rowOff>2264806</xdr:rowOff>
    </xdr:from>
    <xdr:to>
      <xdr:col>5</xdr:col>
      <xdr:colOff>190500</xdr:colOff>
      <xdr:row>3</xdr:row>
      <xdr:rowOff>2254980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GrpSpPr/>
      </xdr:nvGrpSpPr>
      <xdr:grpSpPr>
        <a:xfrm>
          <a:off x="2500091" y="4760356"/>
          <a:ext cx="2186209" cy="2276174"/>
          <a:chOff x="7448239" y="-166145"/>
          <a:chExt cx="1573530" cy="1633538"/>
        </a:xfrm>
      </xdr:grpSpPr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00000000-0008-0000-22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7448239" y="-166145"/>
            <a:ext cx="1573530" cy="1633538"/>
          </a:xfrm>
          <a:prstGeom prst="rect">
            <a:avLst/>
          </a:prstGeom>
        </xdr:spPr>
      </xdr:pic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2200-00000C000000}"/>
              </a:ext>
            </a:extLst>
          </xdr:cNvPr>
          <xdr:cNvSpPr/>
        </xdr:nvSpPr>
        <xdr:spPr>
          <a:xfrm>
            <a:off x="8228180" y="622923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9" name="자유형: 도형 52">
            <a:extLst>
              <a:ext uri="{FF2B5EF4-FFF2-40B4-BE49-F238E27FC236}">
                <a16:creationId xmlns:a16="http://schemas.microsoft.com/office/drawing/2014/main" id="{00000000-0008-0000-2200-00000D000000}"/>
              </a:ext>
            </a:extLst>
          </xdr:cNvPr>
          <xdr:cNvSpPr/>
        </xdr:nvSpPr>
        <xdr:spPr>
          <a:xfrm>
            <a:off x="8227030" y="1055462"/>
            <a:ext cx="190705" cy="193790"/>
          </a:xfrm>
          <a:custGeom>
            <a:avLst/>
            <a:gdLst>
              <a:gd name="connsiteX0" fmla="*/ 47676 w 190705"/>
              <a:gd name="connsiteY0" fmla="*/ 0 h 193790"/>
              <a:gd name="connsiteX1" fmla="*/ 139971 w 190705"/>
              <a:gd name="connsiteY1" fmla="*/ 19578 h 193790"/>
              <a:gd name="connsiteX2" fmla="*/ 143029 w 190705"/>
              <a:gd name="connsiteY2" fmla="*/ 18495 h 193790"/>
              <a:gd name="connsiteX3" fmla="*/ 143029 w 190705"/>
              <a:gd name="connsiteY3" fmla="*/ 98438 h 193790"/>
              <a:gd name="connsiteX4" fmla="*/ 190705 w 190705"/>
              <a:gd name="connsiteY4" fmla="*/ 98438 h 193790"/>
              <a:gd name="connsiteX5" fmla="*/ 95353 w 190705"/>
              <a:gd name="connsiteY5" fmla="*/ 193790 h 193790"/>
              <a:gd name="connsiteX6" fmla="*/ 0 w 190705"/>
              <a:gd name="connsiteY6" fmla="*/ 98438 h 193790"/>
              <a:gd name="connsiteX7" fmla="*/ 47676 w 190705"/>
              <a:gd name="connsiteY7" fmla="*/ 98438 h 1937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90705" h="193790">
                <a:moveTo>
                  <a:pt x="47676" y="0"/>
                </a:moveTo>
                <a:lnTo>
                  <a:pt x="139971" y="19578"/>
                </a:lnTo>
                <a:lnTo>
                  <a:pt x="143029" y="18495"/>
                </a:lnTo>
                <a:lnTo>
                  <a:pt x="143029" y="98438"/>
                </a:lnTo>
                <a:lnTo>
                  <a:pt x="190705" y="98438"/>
                </a:lnTo>
                <a:lnTo>
                  <a:pt x="95353" y="193790"/>
                </a:lnTo>
                <a:lnTo>
                  <a:pt x="0" y="98438"/>
                </a:lnTo>
                <a:lnTo>
                  <a:pt x="47676" y="9843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730251</xdr:colOff>
      <xdr:row>4</xdr:row>
      <xdr:rowOff>171264</xdr:rowOff>
    </xdr:from>
    <xdr:to>
      <xdr:col>5</xdr:col>
      <xdr:colOff>185824</xdr:colOff>
      <xdr:row>4</xdr:row>
      <xdr:rowOff>2243938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GrpSpPr/>
      </xdr:nvGrpSpPr>
      <xdr:grpSpPr>
        <a:xfrm>
          <a:off x="2359026" y="7238814"/>
          <a:ext cx="2322598" cy="2072674"/>
          <a:chOff x="3767068" y="3665655"/>
          <a:chExt cx="1726883" cy="1536859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0000000-0008-0000-22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3767068" y="3665655"/>
            <a:ext cx="1726883" cy="1536859"/>
          </a:xfrm>
          <a:prstGeom prst="rect">
            <a:avLst/>
          </a:prstGeom>
        </xdr:spPr>
      </xdr:pic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2200-000010000000}"/>
              </a:ext>
            </a:extLst>
          </xdr:cNvPr>
          <xdr:cNvSpPr/>
        </xdr:nvSpPr>
        <xdr:spPr>
          <a:xfrm>
            <a:off x="4643568" y="4439489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3" name="자유형: 도형 94">
            <a:extLst>
              <a:ext uri="{FF2B5EF4-FFF2-40B4-BE49-F238E27FC236}">
                <a16:creationId xmlns:a16="http://schemas.microsoft.com/office/drawing/2014/main" id="{00000000-0008-0000-2200-000011000000}"/>
              </a:ext>
            </a:extLst>
          </xdr:cNvPr>
          <xdr:cNvSpPr/>
        </xdr:nvSpPr>
        <xdr:spPr>
          <a:xfrm>
            <a:off x="4646900" y="4868756"/>
            <a:ext cx="190705" cy="193790"/>
          </a:xfrm>
          <a:custGeom>
            <a:avLst/>
            <a:gdLst>
              <a:gd name="connsiteX0" fmla="*/ 47676 w 190705"/>
              <a:gd name="connsiteY0" fmla="*/ 0 h 193790"/>
              <a:gd name="connsiteX1" fmla="*/ 139971 w 190705"/>
              <a:gd name="connsiteY1" fmla="*/ 19578 h 193790"/>
              <a:gd name="connsiteX2" fmla="*/ 143029 w 190705"/>
              <a:gd name="connsiteY2" fmla="*/ 18495 h 193790"/>
              <a:gd name="connsiteX3" fmla="*/ 143029 w 190705"/>
              <a:gd name="connsiteY3" fmla="*/ 98438 h 193790"/>
              <a:gd name="connsiteX4" fmla="*/ 190705 w 190705"/>
              <a:gd name="connsiteY4" fmla="*/ 98438 h 193790"/>
              <a:gd name="connsiteX5" fmla="*/ 95353 w 190705"/>
              <a:gd name="connsiteY5" fmla="*/ 193790 h 193790"/>
              <a:gd name="connsiteX6" fmla="*/ 0 w 190705"/>
              <a:gd name="connsiteY6" fmla="*/ 98438 h 193790"/>
              <a:gd name="connsiteX7" fmla="*/ 47676 w 190705"/>
              <a:gd name="connsiteY7" fmla="*/ 98438 h 1937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90705" h="193790">
                <a:moveTo>
                  <a:pt x="47676" y="0"/>
                </a:moveTo>
                <a:lnTo>
                  <a:pt x="139971" y="19578"/>
                </a:lnTo>
                <a:lnTo>
                  <a:pt x="143029" y="18495"/>
                </a:lnTo>
                <a:lnTo>
                  <a:pt x="143029" y="98438"/>
                </a:lnTo>
                <a:lnTo>
                  <a:pt x="190705" y="98438"/>
                </a:lnTo>
                <a:lnTo>
                  <a:pt x="95353" y="193790"/>
                </a:lnTo>
                <a:lnTo>
                  <a:pt x="0" y="98438"/>
                </a:lnTo>
                <a:lnTo>
                  <a:pt x="47676" y="9843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757749</xdr:colOff>
      <xdr:row>5</xdr:row>
      <xdr:rowOff>174626</xdr:rowOff>
    </xdr:from>
    <xdr:to>
      <xdr:col>5</xdr:col>
      <xdr:colOff>321226</xdr:colOff>
      <xdr:row>6</xdr:row>
      <xdr:rowOff>154628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2200-000012000000}"/>
            </a:ext>
          </a:extLst>
        </xdr:cNvPr>
        <xdr:cNvGrpSpPr/>
      </xdr:nvGrpSpPr>
      <xdr:grpSpPr>
        <a:xfrm>
          <a:off x="2386524" y="9528176"/>
          <a:ext cx="2430502" cy="2266002"/>
          <a:chOff x="5477568" y="3701702"/>
          <a:chExt cx="1806893" cy="1680210"/>
        </a:xfrm>
      </xdr:grpSpPr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00000000-0008-0000-22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5477568" y="3701702"/>
            <a:ext cx="1806893" cy="1680210"/>
          </a:xfrm>
          <a:prstGeom prst="rect">
            <a:avLst/>
          </a:prstGeom>
        </xdr:spPr>
      </xdr:pic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2200-000014000000}"/>
              </a:ext>
            </a:extLst>
          </xdr:cNvPr>
          <xdr:cNvSpPr/>
        </xdr:nvSpPr>
        <xdr:spPr>
          <a:xfrm>
            <a:off x="6333595" y="4459961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자유형: 도형 71">
            <a:extLst>
              <a:ext uri="{FF2B5EF4-FFF2-40B4-BE49-F238E27FC236}">
                <a16:creationId xmlns:a16="http://schemas.microsoft.com/office/drawing/2014/main" id="{00000000-0008-0000-2200-000015000000}"/>
              </a:ext>
            </a:extLst>
          </xdr:cNvPr>
          <xdr:cNvSpPr/>
        </xdr:nvSpPr>
        <xdr:spPr>
          <a:xfrm>
            <a:off x="6336927" y="4889228"/>
            <a:ext cx="190705" cy="193790"/>
          </a:xfrm>
          <a:custGeom>
            <a:avLst/>
            <a:gdLst>
              <a:gd name="connsiteX0" fmla="*/ 47676 w 190705"/>
              <a:gd name="connsiteY0" fmla="*/ 0 h 193790"/>
              <a:gd name="connsiteX1" fmla="*/ 139971 w 190705"/>
              <a:gd name="connsiteY1" fmla="*/ 19578 h 193790"/>
              <a:gd name="connsiteX2" fmla="*/ 143029 w 190705"/>
              <a:gd name="connsiteY2" fmla="*/ 18495 h 193790"/>
              <a:gd name="connsiteX3" fmla="*/ 143029 w 190705"/>
              <a:gd name="connsiteY3" fmla="*/ 98438 h 193790"/>
              <a:gd name="connsiteX4" fmla="*/ 190705 w 190705"/>
              <a:gd name="connsiteY4" fmla="*/ 98438 h 193790"/>
              <a:gd name="connsiteX5" fmla="*/ 95353 w 190705"/>
              <a:gd name="connsiteY5" fmla="*/ 193790 h 193790"/>
              <a:gd name="connsiteX6" fmla="*/ 0 w 190705"/>
              <a:gd name="connsiteY6" fmla="*/ 98438 h 193790"/>
              <a:gd name="connsiteX7" fmla="*/ 47676 w 190705"/>
              <a:gd name="connsiteY7" fmla="*/ 98438 h 1937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90705" h="193790">
                <a:moveTo>
                  <a:pt x="47676" y="0"/>
                </a:moveTo>
                <a:lnTo>
                  <a:pt x="139971" y="19578"/>
                </a:lnTo>
                <a:lnTo>
                  <a:pt x="143029" y="18495"/>
                </a:lnTo>
                <a:lnTo>
                  <a:pt x="143029" y="98438"/>
                </a:lnTo>
                <a:lnTo>
                  <a:pt x="190705" y="98438"/>
                </a:lnTo>
                <a:lnTo>
                  <a:pt x="95353" y="193790"/>
                </a:lnTo>
                <a:lnTo>
                  <a:pt x="0" y="98438"/>
                </a:lnTo>
                <a:lnTo>
                  <a:pt x="47676" y="9843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790490</xdr:colOff>
      <xdr:row>6</xdr:row>
      <xdr:rowOff>161205</xdr:rowOff>
    </xdr:from>
    <xdr:to>
      <xdr:col>5</xdr:col>
      <xdr:colOff>151645</xdr:colOff>
      <xdr:row>6</xdr:row>
      <xdr:rowOff>2238375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00000000-0008-0000-2200-000016000000}"/>
            </a:ext>
          </a:extLst>
        </xdr:cNvPr>
        <xdr:cNvGrpSpPr/>
      </xdr:nvGrpSpPr>
      <xdr:grpSpPr>
        <a:xfrm>
          <a:off x="2419265" y="11800755"/>
          <a:ext cx="2228180" cy="2077170"/>
          <a:chOff x="7192490" y="3665655"/>
          <a:chExt cx="1656874" cy="1540193"/>
        </a:xfrm>
      </xdr:grpSpPr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00000000-0008-0000-2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7192490" y="3665655"/>
            <a:ext cx="1656874" cy="1540193"/>
          </a:xfrm>
          <a:prstGeom prst="rect">
            <a:avLst/>
          </a:prstGeom>
        </xdr:spPr>
      </xdr:pic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00000000-0008-0000-2200-000018000000}"/>
              </a:ext>
            </a:extLst>
          </xdr:cNvPr>
          <xdr:cNvSpPr/>
        </xdr:nvSpPr>
        <xdr:spPr>
          <a:xfrm>
            <a:off x="8032777" y="4425841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" name="자유형: 도형 64">
            <a:extLst>
              <a:ext uri="{FF2B5EF4-FFF2-40B4-BE49-F238E27FC236}">
                <a16:creationId xmlns:a16="http://schemas.microsoft.com/office/drawing/2014/main" id="{00000000-0008-0000-2200-000019000000}"/>
              </a:ext>
            </a:extLst>
          </xdr:cNvPr>
          <xdr:cNvSpPr/>
        </xdr:nvSpPr>
        <xdr:spPr>
          <a:xfrm>
            <a:off x="8036109" y="4855108"/>
            <a:ext cx="190705" cy="193790"/>
          </a:xfrm>
          <a:custGeom>
            <a:avLst/>
            <a:gdLst>
              <a:gd name="connsiteX0" fmla="*/ 47676 w 190705"/>
              <a:gd name="connsiteY0" fmla="*/ 0 h 193790"/>
              <a:gd name="connsiteX1" fmla="*/ 139971 w 190705"/>
              <a:gd name="connsiteY1" fmla="*/ 19578 h 193790"/>
              <a:gd name="connsiteX2" fmla="*/ 143029 w 190705"/>
              <a:gd name="connsiteY2" fmla="*/ 18495 h 193790"/>
              <a:gd name="connsiteX3" fmla="*/ 143029 w 190705"/>
              <a:gd name="connsiteY3" fmla="*/ 98438 h 193790"/>
              <a:gd name="connsiteX4" fmla="*/ 190705 w 190705"/>
              <a:gd name="connsiteY4" fmla="*/ 98438 h 193790"/>
              <a:gd name="connsiteX5" fmla="*/ 95353 w 190705"/>
              <a:gd name="connsiteY5" fmla="*/ 193790 h 193790"/>
              <a:gd name="connsiteX6" fmla="*/ 0 w 190705"/>
              <a:gd name="connsiteY6" fmla="*/ 98438 h 193790"/>
              <a:gd name="connsiteX7" fmla="*/ 47676 w 190705"/>
              <a:gd name="connsiteY7" fmla="*/ 98438 h 1937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190705" h="193790">
                <a:moveTo>
                  <a:pt x="47676" y="0"/>
                </a:moveTo>
                <a:lnTo>
                  <a:pt x="139971" y="19578"/>
                </a:lnTo>
                <a:lnTo>
                  <a:pt x="143029" y="18495"/>
                </a:lnTo>
                <a:lnTo>
                  <a:pt x="143029" y="98438"/>
                </a:lnTo>
                <a:lnTo>
                  <a:pt x="190705" y="98438"/>
                </a:lnTo>
                <a:lnTo>
                  <a:pt x="95353" y="193790"/>
                </a:lnTo>
                <a:lnTo>
                  <a:pt x="0" y="98438"/>
                </a:lnTo>
                <a:lnTo>
                  <a:pt x="47676" y="9843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796145</xdr:colOff>
      <xdr:row>6</xdr:row>
      <xdr:rowOff>2255787</xdr:rowOff>
    </xdr:from>
    <xdr:to>
      <xdr:col>5</xdr:col>
      <xdr:colOff>139355</xdr:colOff>
      <xdr:row>8</xdr:row>
      <xdr:rowOff>36561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2200-00001A000000}"/>
            </a:ext>
          </a:extLst>
        </xdr:cNvPr>
        <xdr:cNvGrpSpPr/>
      </xdr:nvGrpSpPr>
      <xdr:grpSpPr>
        <a:xfrm>
          <a:off x="2424920" y="13895337"/>
          <a:ext cx="2210235" cy="2352774"/>
          <a:chOff x="3984766" y="1461125"/>
          <a:chExt cx="1573530" cy="1670209"/>
        </a:xfrm>
      </xdr:grpSpPr>
      <xdr:pic>
        <xdr:nvPicPr>
          <xdr:cNvPr id="39" name="그림 38">
            <a:extLst>
              <a:ext uri="{FF2B5EF4-FFF2-40B4-BE49-F238E27FC236}">
                <a16:creationId xmlns:a16="http://schemas.microsoft.com/office/drawing/2014/main" id="{00000000-0008-0000-2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3984766" y="1461125"/>
            <a:ext cx="1573530" cy="1670209"/>
          </a:xfrm>
          <a:prstGeom prst="rect">
            <a:avLst/>
          </a:prstGeom>
        </xdr:spPr>
      </xdr:pic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2200-00001C000000}"/>
              </a:ext>
            </a:extLst>
          </xdr:cNvPr>
          <xdr:cNvSpPr/>
        </xdr:nvSpPr>
        <xdr:spPr>
          <a:xfrm>
            <a:off x="4998412" y="1684240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" name="자유형: 도형 130">
            <a:extLst>
              <a:ext uri="{FF2B5EF4-FFF2-40B4-BE49-F238E27FC236}">
                <a16:creationId xmlns:a16="http://schemas.microsoft.com/office/drawing/2014/main" id="{00000000-0008-0000-2200-00001D000000}"/>
              </a:ext>
            </a:extLst>
          </xdr:cNvPr>
          <xdr:cNvSpPr/>
        </xdr:nvSpPr>
        <xdr:spPr>
          <a:xfrm>
            <a:off x="5001381" y="2054420"/>
            <a:ext cx="190704" cy="210423"/>
          </a:xfrm>
          <a:custGeom>
            <a:avLst/>
            <a:gdLst>
              <a:gd name="connsiteX0" fmla="*/ 143028 w 190704"/>
              <a:gd name="connsiteY0" fmla="*/ 0 h 210423"/>
              <a:gd name="connsiteX1" fmla="*/ 143028 w 190704"/>
              <a:gd name="connsiteY1" fmla="*/ 115071 h 210423"/>
              <a:gd name="connsiteX2" fmla="*/ 190704 w 190704"/>
              <a:gd name="connsiteY2" fmla="*/ 115071 h 210423"/>
              <a:gd name="connsiteX3" fmla="*/ 95352 w 190704"/>
              <a:gd name="connsiteY3" fmla="*/ 210423 h 210423"/>
              <a:gd name="connsiteX4" fmla="*/ 0 w 190704"/>
              <a:gd name="connsiteY4" fmla="*/ 115071 h 210423"/>
              <a:gd name="connsiteX5" fmla="*/ 47676 w 190704"/>
              <a:gd name="connsiteY5" fmla="*/ 115071 h 210423"/>
              <a:gd name="connsiteX6" fmla="*/ 47676 w 190704"/>
              <a:gd name="connsiteY6" fmla="*/ 21405 h 2104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90704" h="210423">
                <a:moveTo>
                  <a:pt x="143028" y="0"/>
                </a:moveTo>
                <a:lnTo>
                  <a:pt x="143028" y="115071"/>
                </a:lnTo>
                <a:lnTo>
                  <a:pt x="190704" y="115071"/>
                </a:lnTo>
                <a:lnTo>
                  <a:pt x="95352" y="210423"/>
                </a:lnTo>
                <a:lnTo>
                  <a:pt x="0" y="115071"/>
                </a:lnTo>
                <a:lnTo>
                  <a:pt x="47676" y="115071"/>
                </a:lnTo>
                <a:lnTo>
                  <a:pt x="47676" y="21405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846077</xdr:colOff>
      <xdr:row>8</xdr:row>
      <xdr:rowOff>34625</xdr:rowOff>
    </xdr:from>
    <xdr:to>
      <xdr:col>5</xdr:col>
      <xdr:colOff>311388</xdr:colOff>
      <xdr:row>9</xdr:row>
      <xdr:rowOff>54437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00000000-0008-0000-2200-00001E000000}"/>
            </a:ext>
          </a:extLst>
        </xdr:cNvPr>
        <xdr:cNvGrpSpPr/>
      </xdr:nvGrpSpPr>
      <xdr:grpSpPr>
        <a:xfrm>
          <a:off x="2474852" y="16246175"/>
          <a:ext cx="2332336" cy="2305812"/>
          <a:chOff x="5738025" y="1461125"/>
          <a:chExt cx="1660208" cy="1636871"/>
        </a:xfrm>
      </xdr:grpSpPr>
      <xdr:pic>
        <xdr:nvPicPr>
          <xdr:cNvPr id="43" name="그림 42">
            <a:extLst>
              <a:ext uri="{FF2B5EF4-FFF2-40B4-BE49-F238E27FC236}">
                <a16:creationId xmlns:a16="http://schemas.microsoft.com/office/drawing/2014/main" id="{00000000-0008-0000-22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5738025" y="1461125"/>
            <a:ext cx="1660208" cy="1636871"/>
          </a:xfrm>
          <a:prstGeom prst="rect">
            <a:avLst/>
          </a:prstGeom>
        </xdr:spPr>
      </xdr:pic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2200-000020000000}"/>
              </a:ext>
            </a:extLst>
          </xdr:cNvPr>
          <xdr:cNvSpPr/>
        </xdr:nvSpPr>
        <xdr:spPr>
          <a:xfrm>
            <a:off x="6696891" y="1684240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" name="자유형: 도형 127">
            <a:extLst>
              <a:ext uri="{FF2B5EF4-FFF2-40B4-BE49-F238E27FC236}">
                <a16:creationId xmlns:a16="http://schemas.microsoft.com/office/drawing/2014/main" id="{00000000-0008-0000-2200-000021000000}"/>
              </a:ext>
            </a:extLst>
          </xdr:cNvPr>
          <xdr:cNvSpPr/>
        </xdr:nvSpPr>
        <xdr:spPr>
          <a:xfrm>
            <a:off x="6699860" y="2054420"/>
            <a:ext cx="190704" cy="210423"/>
          </a:xfrm>
          <a:custGeom>
            <a:avLst/>
            <a:gdLst>
              <a:gd name="connsiteX0" fmla="*/ 143028 w 190704"/>
              <a:gd name="connsiteY0" fmla="*/ 0 h 210423"/>
              <a:gd name="connsiteX1" fmla="*/ 143028 w 190704"/>
              <a:gd name="connsiteY1" fmla="*/ 115071 h 210423"/>
              <a:gd name="connsiteX2" fmla="*/ 190704 w 190704"/>
              <a:gd name="connsiteY2" fmla="*/ 115071 h 210423"/>
              <a:gd name="connsiteX3" fmla="*/ 95352 w 190704"/>
              <a:gd name="connsiteY3" fmla="*/ 210423 h 210423"/>
              <a:gd name="connsiteX4" fmla="*/ 0 w 190704"/>
              <a:gd name="connsiteY4" fmla="*/ 115071 h 210423"/>
              <a:gd name="connsiteX5" fmla="*/ 47676 w 190704"/>
              <a:gd name="connsiteY5" fmla="*/ 115071 h 210423"/>
              <a:gd name="connsiteX6" fmla="*/ 47676 w 190704"/>
              <a:gd name="connsiteY6" fmla="*/ 21405 h 2104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90704" h="210423">
                <a:moveTo>
                  <a:pt x="143028" y="0"/>
                </a:moveTo>
                <a:lnTo>
                  <a:pt x="143028" y="115071"/>
                </a:lnTo>
                <a:lnTo>
                  <a:pt x="190704" y="115071"/>
                </a:lnTo>
                <a:lnTo>
                  <a:pt x="95352" y="210423"/>
                </a:lnTo>
                <a:lnTo>
                  <a:pt x="0" y="115071"/>
                </a:lnTo>
                <a:lnTo>
                  <a:pt x="47676" y="115071"/>
                </a:lnTo>
                <a:lnTo>
                  <a:pt x="47676" y="21405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702832</xdr:colOff>
      <xdr:row>10</xdr:row>
      <xdr:rowOff>142876</xdr:rowOff>
    </xdr:from>
    <xdr:to>
      <xdr:col>5</xdr:col>
      <xdr:colOff>158750</xdr:colOff>
      <xdr:row>11</xdr:row>
      <xdr:rowOff>21804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00000000-0008-0000-2200-000022000000}"/>
            </a:ext>
          </a:extLst>
        </xdr:cNvPr>
        <xdr:cNvGrpSpPr/>
      </xdr:nvGrpSpPr>
      <xdr:grpSpPr>
        <a:xfrm>
          <a:off x="2331607" y="20926426"/>
          <a:ext cx="2322943" cy="2164928"/>
          <a:chOff x="7343322" y="1427787"/>
          <a:chExt cx="1703546" cy="1623536"/>
        </a:xfrm>
      </xdr:grpSpPr>
      <xdr:pic>
        <xdr:nvPicPr>
          <xdr:cNvPr id="47" name="그림 46">
            <a:extLst>
              <a:ext uri="{FF2B5EF4-FFF2-40B4-BE49-F238E27FC236}">
                <a16:creationId xmlns:a16="http://schemas.microsoft.com/office/drawing/2014/main" id="{00000000-0008-0000-22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7343322" y="1427787"/>
            <a:ext cx="1703546" cy="1623536"/>
          </a:xfrm>
          <a:prstGeom prst="rect">
            <a:avLst/>
          </a:prstGeom>
        </xdr:spPr>
      </xdr:pic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2200-000024000000}"/>
              </a:ext>
            </a:extLst>
          </xdr:cNvPr>
          <xdr:cNvSpPr/>
        </xdr:nvSpPr>
        <xdr:spPr>
          <a:xfrm>
            <a:off x="8449779" y="1602352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" name="자유형: 도형 124">
            <a:extLst>
              <a:ext uri="{FF2B5EF4-FFF2-40B4-BE49-F238E27FC236}">
                <a16:creationId xmlns:a16="http://schemas.microsoft.com/office/drawing/2014/main" id="{00000000-0008-0000-2200-000025000000}"/>
              </a:ext>
            </a:extLst>
          </xdr:cNvPr>
          <xdr:cNvSpPr/>
        </xdr:nvSpPr>
        <xdr:spPr>
          <a:xfrm>
            <a:off x="8445924" y="1993004"/>
            <a:ext cx="190704" cy="210423"/>
          </a:xfrm>
          <a:custGeom>
            <a:avLst/>
            <a:gdLst>
              <a:gd name="connsiteX0" fmla="*/ 143028 w 190704"/>
              <a:gd name="connsiteY0" fmla="*/ 0 h 210423"/>
              <a:gd name="connsiteX1" fmla="*/ 143028 w 190704"/>
              <a:gd name="connsiteY1" fmla="*/ 115071 h 210423"/>
              <a:gd name="connsiteX2" fmla="*/ 190704 w 190704"/>
              <a:gd name="connsiteY2" fmla="*/ 115071 h 210423"/>
              <a:gd name="connsiteX3" fmla="*/ 95352 w 190704"/>
              <a:gd name="connsiteY3" fmla="*/ 210423 h 210423"/>
              <a:gd name="connsiteX4" fmla="*/ 0 w 190704"/>
              <a:gd name="connsiteY4" fmla="*/ 115071 h 210423"/>
              <a:gd name="connsiteX5" fmla="*/ 47676 w 190704"/>
              <a:gd name="connsiteY5" fmla="*/ 115071 h 210423"/>
              <a:gd name="connsiteX6" fmla="*/ 47676 w 190704"/>
              <a:gd name="connsiteY6" fmla="*/ 21405 h 2104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90704" h="210423">
                <a:moveTo>
                  <a:pt x="143028" y="0"/>
                </a:moveTo>
                <a:lnTo>
                  <a:pt x="143028" y="115071"/>
                </a:lnTo>
                <a:lnTo>
                  <a:pt x="190704" y="115071"/>
                </a:lnTo>
                <a:lnTo>
                  <a:pt x="95352" y="210423"/>
                </a:lnTo>
                <a:lnTo>
                  <a:pt x="0" y="115071"/>
                </a:lnTo>
                <a:lnTo>
                  <a:pt x="47676" y="115071"/>
                </a:lnTo>
                <a:lnTo>
                  <a:pt x="47676" y="21405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730250</xdr:colOff>
      <xdr:row>9</xdr:row>
      <xdr:rowOff>126790</xdr:rowOff>
    </xdr:from>
    <xdr:to>
      <xdr:col>5</xdr:col>
      <xdr:colOff>186168</xdr:colOff>
      <xdr:row>10</xdr:row>
      <xdr:rowOff>5718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2200-000026000000}"/>
            </a:ext>
          </a:extLst>
        </xdr:cNvPr>
        <xdr:cNvGrpSpPr/>
      </xdr:nvGrpSpPr>
      <xdr:grpSpPr>
        <a:xfrm>
          <a:off x="2359025" y="18624340"/>
          <a:ext cx="2322943" cy="2164928"/>
          <a:chOff x="9150410" y="1457315"/>
          <a:chExt cx="1653540" cy="1536859"/>
        </a:xfrm>
      </xdr:grpSpPr>
      <xdr:pic>
        <xdr:nvPicPr>
          <xdr:cNvPr id="51" name="그림 50">
            <a:extLst>
              <a:ext uri="{FF2B5EF4-FFF2-40B4-BE49-F238E27FC236}">
                <a16:creationId xmlns:a16="http://schemas.microsoft.com/office/drawing/2014/main" id="{00000000-0008-0000-22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150410" y="1457315"/>
            <a:ext cx="1653540" cy="1536859"/>
          </a:xfrm>
          <a:prstGeom prst="rect">
            <a:avLst/>
          </a:prstGeom>
        </xdr:spPr>
      </xdr:pic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2200-000028000000}"/>
              </a:ext>
            </a:extLst>
          </xdr:cNvPr>
          <xdr:cNvSpPr/>
        </xdr:nvSpPr>
        <xdr:spPr>
          <a:xfrm>
            <a:off x="10184139" y="1630927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3" name="자유형: 도형 121">
            <a:extLst>
              <a:ext uri="{FF2B5EF4-FFF2-40B4-BE49-F238E27FC236}">
                <a16:creationId xmlns:a16="http://schemas.microsoft.com/office/drawing/2014/main" id="{00000000-0008-0000-2200-000029000000}"/>
              </a:ext>
            </a:extLst>
          </xdr:cNvPr>
          <xdr:cNvSpPr/>
        </xdr:nvSpPr>
        <xdr:spPr>
          <a:xfrm>
            <a:off x="10189809" y="2031104"/>
            <a:ext cx="190704" cy="210423"/>
          </a:xfrm>
          <a:custGeom>
            <a:avLst/>
            <a:gdLst>
              <a:gd name="connsiteX0" fmla="*/ 143028 w 190704"/>
              <a:gd name="connsiteY0" fmla="*/ 0 h 210423"/>
              <a:gd name="connsiteX1" fmla="*/ 143028 w 190704"/>
              <a:gd name="connsiteY1" fmla="*/ 115071 h 210423"/>
              <a:gd name="connsiteX2" fmla="*/ 190704 w 190704"/>
              <a:gd name="connsiteY2" fmla="*/ 115071 h 210423"/>
              <a:gd name="connsiteX3" fmla="*/ 95352 w 190704"/>
              <a:gd name="connsiteY3" fmla="*/ 210423 h 210423"/>
              <a:gd name="connsiteX4" fmla="*/ 0 w 190704"/>
              <a:gd name="connsiteY4" fmla="*/ 115071 h 210423"/>
              <a:gd name="connsiteX5" fmla="*/ 47676 w 190704"/>
              <a:gd name="connsiteY5" fmla="*/ 115071 h 210423"/>
              <a:gd name="connsiteX6" fmla="*/ 47676 w 190704"/>
              <a:gd name="connsiteY6" fmla="*/ 21405 h 2104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90704" h="210423">
                <a:moveTo>
                  <a:pt x="143028" y="0"/>
                </a:moveTo>
                <a:lnTo>
                  <a:pt x="143028" y="115071"/>
                </a:lnTo>
                <a:lnTo>
                  <a:pt x="190704" y="115071"/>
                </a:lnTo>
                <a:lnTo>
                  <a:pt x="95352" y="210423"/>
                </a:lnTo>
                <a:lnTo>
                  <a:pt x="0" y="115071"/>
                </a:lnTo>
                <a:lnTo>
                  <a:pt x="47676" y="115071"/>
                </a:lnTo>
                <a:lnTo>
                  <a:pt x="47676" y="21405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857250</xdr:colOff>
      <xdr:row>11</xdr:row>
      <xdr:rowOff>70623</xdr:rowOff>
    </xdr:from>
    <xdr:to>
      <xdr:col>5</xdr:col>
      <xdr:colOff>87201</xdr:colOff>
      <xdr:row>11</xdr:row>
      <xdr:rowOff>2214485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2200-00002A000000}"/>
            </a:ext>
          </a:extLst>
        </xdr:cNvPr>
        <xdr:cNvGrpSpPr/>
      </xdr:nvGrpSpPr>
      <xdr:grpSpPr>
        <a:xfrm>
          <a:off x="2486025" y="23140173"/>
          <a:ext cx="2096976" cy="2143862"/>
          <a:chOff x="4167360" y="5083018"/>
          <a:chExt cx="1646292" cy="1678020"/>
        </a:xfrm>
      </xdr:grpSpPr>
      <xdr:pic>
        <xdr:nvPicPr>
          <xdr:cNvPr id="55" name="그림 54">
            <a:extLst>
              <a:ext uri="{FF2B5EF4-FFF2-40B4-BE49-F238E27FC236}">
                <a16:creationId xmlns:a16="http://schemas.microsoft.com/office/drawing/2014/main" id="{00000000-0008-0000-22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4167360" y="5083018"/>
            <a:ext cx="1646292" cy="1678020"/>
          </a:xfrm>
          <a:prstGeom prst="rect">
            <a:avLst/>
          </a:prstGeom>
        </xdr:spPr>
      </xdr:pic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2200-00002C000000}"/>
              </a:ext>
            </a:extLst>
          </xdr:cNvPr>
          <xdr:cNvSpPr/>
        </xdr:nvSpPr>
        <xdr:spPr>
          <a:xfrm>
            <a:off x="4857306" y="5373163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7" name="화살표: 아래쪽 146">
            <a:extLst>
              <a:ext uri="{FF2B5EF4-FFF2-40B4-BE49-F238E27FC236}">
                <a16:creationId xmlns:a16="http://schemas.microsoft.com/office/drawing/2014/main" id="{00000000-0008-0000-2200-00002D000000}"/>
              </a:ext>
            </a:extLst>
          </xdr:cNvPr>
          <xdr:cNvSpPr/>
        </xdr:nvSpPr>
        <xdr:spPr>
          <a:xfrm>
            <a:off x="4853609" y="5668800"/>
            <a:ext cx="190705" cy="322946"/>
          </a:xfrm>
          <a:prstGeom prst="downArrow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915772</xdr:colOff>
      <xdr:row>12</xdr:row>
      <xdr:rowOff>63500</xdr:rowOff>
    </xdr:from>
    <xdr:to>
      <xdr:col>5</xdr:col>
      <xdr:colOff>15110</xdr:colOff>
      <xdr:row>12</xdr:row>
      <xdr:rowOff>2198355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00000000-0008-0000-2200-00002E000000}"/>
            </a:ext>
          </a:extLst>
        </xdr:cNvPr>
        <xdr:cNvGrpSpPr/>
      </xdr:nvGrpSpPr>
      <xdr:grpSpPr>
        <a:xfrm>
          <a:off x="2544547" y="25419050"/>
          <a:ext cx="1966363" cy="2134855"/>
          <a:chOff x="6090965" y="5085991"/>
          <a:chExt cx="1544060" cy="1670970"/>
        </a:xfrm>
      </xdr:grpSpPr>
      <xdr:pic>
        <xdr:nvPicPr>
          <xdr:cNvPr id="59" name="그림 58">
            <a:extLst>
              <a:ext uri="{FF2B5EF4-FFF2-40B4-BE49-F238E27FC236}">
                <a16:creationId xmlns:a16="http://schemas.microsoft.com/office/drawing/2014/main" id="{00000000-0008-0000-22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6090965" y="5085991"/>
            <a:ext cx="1544060" cy="1670970"/>
          </a:xfrm>
          <a:prstGeom prst="rect">
            <a:avLst/>
          </a:prstGeom>
        </xdr:spPr>
      </xdr:pic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00000000-0008-0000-2200-000030000000}"/>
              </a:ext>
            </a:extLst>
          </xdr:cNvPr>
          <xdr:cNvSpPr/>
        </xdr:nvSpPr>
        <xdr:spPr>
          <a:xfrm>
            <a:off x="6748353" y="5373163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1" name="화살표: 아래쪽 143">
            <a:extLst>
              <a:ext uri="{FF2B5EF4-FFF2-40B4-BE49-F238E27FC236}">
                <a16:creationId xmlns:a16="http://schemas.microsoft.com/office/drawing/2014/main" id="{00000000-0008-0000-2200-000031000000}"/>
              </a:ext>
            </a:extLst>
          </xdr:cNvPr>
          <xdr:cNvSpPr/>
        </xdr:nvSpPr>
        <xdr:spPr>
          <a:xfrm>
            <a:off x="6744554" y="5668800"/>
            <a:ext cx="190705" cy="322946"/>
          </a:xfrm>
          <a:prstGeom prst="downArrow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921580</xdr:colOff>
      <xdr:row>14</xdr:row>
      <xdr:rowOff>130544</xdr:rowOff>
    </xdr:from>
    <xdr:to>
      <xdr:col>5</xdr:col>
      <xdr:colOff>25423</xdr:colOff>
      <xdr:row>14</xdr:row>
      <xdr:rowOff>2238375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2200-000032000000}"/>
            </a:ext>
          </a:extLst>
        </xdr:cNvPr>
        <xdr:cNvGrpSpPr/>
      </xdr:nvGrpSpPr>
      <xdr:grpSpPr>
        <a:xfrm>
          <a:off x="2550355" y="30058094"/>
          <a:ext cx="1970868" cy="2107831"/>
          <a:chOff x="7986660" y="5129287"/>
          <a:chExt cx="1547586" cy="1649818"/>
        </a:xfrm>
      </xdr:grpSpPr>
      <xdr:pic>
        <xdr:nvPicPr>
          <xdr:cNvPr id="63" name="그림 62">
            <a:extLst>
              <a:ext uri="{FF2B5EF4-FFF2-40B4-BE49-F238E27FC236}">
                <a16:creationId xmlns:a16="http://schemas.microsoft.com/office/drawing/2014/main" id="{00000000-0008-0000-22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7986660" y="5129287"/>
            <a:ext cx="1547586" cy="1649818"/>
          </a:xfrm>
          <a:prstGeom prst="rect">
            <a:avLst/>
          </a:prstGeom>
        </xdr:spPr>
      </xdr:pic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2200-000034000000}"/>
              </a:ext>
            </a:extLst>
          </xdr:cNvPr>
          <xdr:cNvSpPr/>
        </xdr:nvSpPr>
        <xdr:spPr>
          <a:xfrm>
            <a:off x="8636628" y="5373163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5" name="화살표: 아래쪽 140">
            <a:extLst>
              <a:ext uri="{FF2B5EF4-FFF2-40B4-BE49-F238E27FC236}">
                <a16:creationId xmlns:a16="http://schemas.microsoft.com/office/drawing/2014/main" id="{00000000-0008-0000-2200-000035000000}"/>
              </a:ext>
            </a:extLst>
          </xdr:cNvPr>
          <xdr:cNvSpPr/>
        </xdr:nvSpPr>
        <xdr:spPr>
          <a:xfrm>
            <a:off x="8639609" y="5668800"/>
            <a:ext cx="190705" cy="322946"/>
          </a:xfrm>
          <a:prstGeom prst="downArrow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892514</xdr:colOff>
      <xdr:row>13</xdr:row>
      <xdr:rowOff>79296</xdr:rowOff>
    </xdr:from>
    <xdr:to>
      <xdr:col>5</xdr:col>
      <xdr:colOff>54907</xdr:colOff>
      <xdr:row>13</xdr:row>
      <xdr:rowOff>2218655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2200-000036000000}"/>
            </a:ext>
          </a:extLst>
        </xdr:cNvPr>
        <xdr:cNvGrpSpPr/>
      </xdr:nvGrpSpPr>
      <xdr:grpSpPr>
        <a:xfrm>
          <a:off x="2521289" y="27720846"/>
          <a:ext cx="2029418" cy="2139359"/>
          <a:chOff x="9911993" y="5081596"/>
          <a:chExt cx="1593414" cy="1674495"/>
        </a:xfrm>
      </xdr:grpSpPr>
      <xdr:pic>
        <xdr:nvPicPr>
          <xdr:cNvPr id="67" name="그림 66">
            <a:extLst>
              <a:ext uri="{FF2B5EF4-FFF2-40B4-BE49-F238E27FC236}">
                <a16:creationId xmlns:a16="http://schemas.microsoft.com/office/drawing/2014/main" id="{00000000-0008-0000-22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911993" y="5081596"/>
            <a:ext cx="1593414" cy="1674495"/>
          </a:xfrm>
          <a:prstGeom prst="rect">
            <a:avLst/>
          </a:prstGeom>
        </xdr:spPr>
      </xdr:pic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00000000-0008-0000-2200-000038000000}"/>
              </a:ext>
            </a:extLst>
          </xdr:cNvPr>
          <xdr:cNvSpPr/>
        </xdr:nvSpPr>
        <xdr:spPr>
          <a:xfrm>
            <a:off x="10584875" y="5373163"/>
            <a:ext cx="190705" cy="241562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9" name="화살표: 아래쪽 137">
            <a:extLst>
              <a:ext uri="{FF2B5EF4-FFF2-40B4-BE49-F238E27FC236}">
                <a16:creationId xmlns:a16="http://schemas.microsoft.com/office/drawing/2014/main" id="{00000000-0008-0000-2200-000039000000}"/>
              </a:ext>
            </a:extLst>
          </xdr:cNvPr>
          <xdr:cNvSpPr/>
        </xdr:nvSpPr>
        <xdr:spPr>
          <a:xfrm>
            <a:off x="10584772" y="5668800"/>
            <a:ext cx="190705" cy="322946"/>
          </a:xfrm>
          <a:prstGeom prst="downArrow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5"/>
  <sheetViews>
    <sheetView workbookViewId="0">
      <selection activeCell="H10" sqref="H10"/>
    </sheetView>
  </sheetViews>
  <sheetFormatPr defaultRowHeight="16.5" x14ac:dyDescent="0.3"/>
  <cols>
    <col min="2" max="2" width="9" style="3"/>
  </cols>
  <sheetData>
    <row r="1" spans="1:12" x14ac:dyDescent="0.3">
      <c r="A1" s="12" t="s">
        <v>1</v>
      </c>
      <c r="B1" s="12" t="s">
        <v>19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13</v>
      </c>
      <c r="H1" s="13" t="s">
        <v>6</v>
      </c>
      <c r="I1" s="13" t="s">
        <v>7</v>
      </c>
      <c r="J1" s="13" t="s">
        <v>8</v>
      </c>
      <c r="K1" s="13" t="s">
        <v>9</v>
      </c>
      <c r="L1" s="15" t="s">
        <v>10</v>
      </c>
    </row>
    <row r="2" spans="1:12" x14ac:dyDescent="0.3">
      <c r="A2" s="16" t="s">
        <v>24</v>
      </c>
      <c r="B2" s="4" t="s">
        <v>20</v>
      </c>
      <c r="C2" s="5" t="s">
        <v>28</v>
      </c>
      <c r="D2" s="5" t="s">
        <v>11</v>
      </c>
      <c r="E2" s="11" t="s">
        <v>12</v>
      </c>
      <c r="F2" s="11" t="s">
        <v>25</v>
      </c>
      <c r="G2" s="17">
        <f>IF(A2&lt;&gt;"", (H2*150^2+I2*150+J2)/1000, "")</f>
        <v>0.72884000000000004</v>
      </c>
      <c r="H2" s="6">
        <v>-5.7999999999999996E-3</v>
      </c>
      <c r="I2" s="7">
        <v>-0.66159999999999997</v>
      </c>
      <c r="J2" s="7">
        <v>958.58</v>
      </c>
      <c r="K2" s="9">
        <v>6000</v>
      </c>
      <c r="L2" s="10">
        <v>8000</v>
      </c>
    </row>
    <row r="3" spans="1:12" x14ac:dyDescent="0.3">
      <c r="A3" s="16" t="s">
        <v>14</v>
      </c>
      <c r="B3" s="4" t="s">
        <v>20</v>
      </c>
      <c r="C3" s="5" t="s">
        <v>29</v>
      </c>
      <c r="D3" s="5" t="s">
        <v>11</v>
      </c>
      <c r="E3" s="11" t="s">
        <v>12</v>
      </c>
      <c r="F3" s="11" t="s">
        <v>25</v>
      </c>
      <c r="G3" s="17">
        <f t="shared" ref="G3:G5" si="0">IF(A3&lt;&gt;"", (H3*150^2+I3*150+J3)/1000, "")</f>
        <v>6.0940000000000001E-2</v>
      </c>
      <c r="H3" s="6">
        <v>4.7000000000000002E-3</v>
      </c>
      <c r="I3" s="8">
        <v>-2.0466000000000002</v>
      </c>
      <c r="J3" s="8">
        <v>262.18</v>
      </c>
      <c r="K3" s="9">
        <v>6000</v>
      </c>
      <c r="L3" s="10">
        <v>8000</v>
      </c>
    </row>
    <row r="4" spans="1:12" x14ac:dyDescent="0.3">
      <c r="A4" s="16" t="s">
        <v>15</v>
      </c>
      <c r="B4" s="4" t="s">
        <v>21</v>
      </c>
      <c r="C4" s="5" t="s">
        <v>28</v>
      </c>
      <c r="D4" s="5" t="s">
        <v>11</v>
      </c>
      <c r="E4" s="11" t="s">
        <v>26</v>
      </c>
      <c r="F4" s="11" t="s">
        <v>27</v>
      </c>
      <c r="G4" s="17">
        <f t="shared" si="0"/>
        <v>0.72884000000000004</v>
      </c>
      <c r="H4" s="6">
        <v>-5.7999999999999996E-3</v>
      </c>
      <c r="I4" s="7">
        <v>-0.66159999999999997</v>
      </c>
      <c r="J4" s="7">
        <v>958.58</v>
      </c>
      <c r="K4" s="9">
        <v>6000</v>
      </c>
      <c r="L4" s="10">
        <v>8000</v>
      </c>
    </row>
    <row r="5" spans="1:12" x14ac:dyDescent="0.3">
      <c r="A5" s="16" t="s">
        <v>16</v>
      </c>
      <c r="B5" s="4" t="s">
        <v>22</v>
      </c>
      <c r="C5" s="5" t="s">
        <v>29</v>
      </c>
      <c r="D5" s="5" t="s">
        <v>11</v>
      </c>
      <c r="E5" s="11" t="s">
        <v>26</v>
      </c>
      <c r="F5" s="11" t="s">
        <v>27</v>
      </c>
      <c r="G5" s="17">
        <f t="shared" si="0"/>
        <v>6.0940000000000001E-2</v>
      </c>
      <c r="H5" s="6">
        <v>4.7000000000000002E-3</v>
      </c>
      <c r="I5" s="8">
        <v>-2.0466000000000002</v>
      </c>
      <c r="J5" s="8">
        <v>262.18</v>
      </c>
      <c r="K5" s="9">
        <v>6000</v>
      </c>
      <c r="L5" s="10">
        <v>8000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U5"/>
  <sheetViews>
    <sheetView showGridLines="0" zoomScale="55" zoomScaleNormal="55" workbookViewId="0">
      <selection activeCell="Q5" sqref="Q5"/>
    </sheetView>
  </sheetViews>
  <sheetFormatPr defaultRowHeight="16.5" x14ac:dyDescent="0.3"/>
  <cols>
    <col min="1" max="2" width="9" style="3"/>
    <col min="3" max="4" width="9" style="1" customWidth="1"/>
    <col min="5" max="5" width="9" style="3"/>
    <col min="6" max="6" width="13.5" style="3" customWidth="1"/>
    <col min="7" max="10" width="12.625" style="3" customWidth="1"/>
    <col min="11" max="16384" width="9" style="3"/>
  </cols>
  <sheetData>
    <row r="1" spans="1:21" x14ac:dyDescent="0.3">
      <c r="A1" s="12" t="s">
        <v>1</v>
      </c>
      <c r="B1" s="12" t="s">
        <v>23</v>
      </c>
      <c r="C1" s="13" t="s">
        <v>2</v>
      </c>
      <c r="D1" s="13" t="s">
        <v>3</v>
      </c>
      <c r="E1" s="13" t="s">
        <v>4</v>
      </c>
      <c r="F1" s="13" t="s">
        <v>5</v>
      </c>
      <c r="G1" s="20" t="s">
        <v>17</v>
      </c>
      <c r="H1" s="21"/>
      <c r="I1" s="20" t="s">
        <v>18</v>
      </c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0" customHeight="1" x14ac:dyDescent="0.3">
      <c r="A2" s="16" t="str">
        <f>선형열교!A2</f>
        <v>TBS_001</v>
      </c>
      <c r="B2" s="16" t="str">
        <f>선형열교!B2</f>
        <v>표준</v>
      </c>
      <c r="C2" s="16" t="str">
        <f>선형열교!C2</f>
        <v>보선형(끊김)</v>
      </c>
      <c r="D2" s="16" t="str">
        <f>선형열교!D2</f>
        <v>IPAZEB</v>
      </c>
      <c r="E2" s="16" t="str">
        <f>선형열교!E2</f>
        <v>콘크리트조</v>
      </c>
      <c r="F2" s="16" t="str">
        <f>선형열교!F2</f>
        <v>외단열</v>
      </c>
      <c r="G2" s="18"/>
      <c r="H2" s="18"/>
      <c r="I2" s="18"/>
      <c r="J2" s="18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0" customHeight="1" x14ac:dyDescent="0.3">
      <c r="A3" s="16" t="str">
        <f>선형열교!A3</f>
        <v>TBS_002</v>
      </c>
      <c r="B3" s="16" t="str">
        <f>선형열교!B3</f>
        <v>표준</v>
      </c>
      <c r="C3" s="16" t="str">
        <f>선형열교!C3</f>
        <v>보션형(연결)</v>
      </c>
      <c r="D3" s="16" t="str">
        <f>선형열교!D3</f>
        <v>IPAZEB</v>
      </c>
      <c r="E3" s="16" t="str">
        <f>선형열교!E3</f>
        <v>콘크리트조</v>
      </c>
      <c r="F3" s="16" t="str">
        <f>선형열교!F3</f>
        <v>외단열</v>
      </c>
      <c r="G3" s="18"/>
      <c r="H3" s="18"/>
      <c r="I3" s="18"/>
      <c r="J3" s="18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80" customHeight="1" x14ac:dyDescent="0.3">
      <c r="A4" s="16" t="str">
        <f>선형열교!A4</f>
        <v>TBS_003</v>
      </c>
      <c r="B4" s="16" t="str">
        <f>선형열교!B4</f>
        <v>표준</v>
      </c>
      <c r="C4" s="16" t="str">
        <f>선형열교!C4</f>
        <v>보선형(끊김)</v>
      </c>
      <c r="D4" s="16" t="str">
        <f>선형열교!D4</f>
        <v>IPAZEB</v>
      </c>
      <c r="E4" s="16" t="str">
        <f>선형열교!E4</f>
        <v>기존바닥</v>
      </c>
      <c r="F4" s="16" t="str">
        <f>선형열교!F4</f>
        <v>외부덧댐형</v>
      </c>
      <c r="G4" s="18"/>
      <c r="H4" s="18"/>
      <c r="I4" s="18"/>
      <c r="J4" s="18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80" customHeight="1" x14ac:dyDescent="0.3">
      <c r="A5" s="16" t="str">
        <f>선형열교!A5</f>
        <v>TBS_004</v>
      </c>
      <c r="B5" s="16" t="str">
        <f>선형열교!B5</f>
        <v>표준</v>
      </c>
      <c r="C5" s="16" t="str">
        <f>선형열교!C5</f>
        <v>보션형(연결)</v>
      </c>
      <c r="D5" s="16" t="str">
        <f>선형열교!D5</f>
        <v>IPAZEB</v>
      </c>
      <c r="E5" s="16" t="str">
        <f>선형열교!E5</f>
        <v>기존바닥</v>
      </c>
      <c r="F5" s="16" t="str">
        <f>선형열교!F5</f>
        <v>외부덧댐형</v>
      </c>
      <c r="G5" s="18"/>
      <c r="H5" s="18"/>
      <c r="I5" s="18"/>
      <c r="J5" s="18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</sheetData>
  <mergeCells count="10">
    <mergeCell ref="I2:J2"/>
    <mergeCell ref="G1:H1"/>
    <mergeCell ref="I1:J1"/>
    <mergeCell ref="I3:J3"/>
    <mergeCell ref="I4:J4"/>
    <mergeCell ref="I5:J5"/>
    <mergeCell ref="G3:H3"/>
    <mergeCell ref="G4:H4"/>
    <mergeCell ref="G2:H2"/>
    <mergeCell ref="G5:H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E15"/>
  <sheetViews>
    <sheetView showGridLines="0" tabSelected="1" zoomScaleNormal="100" workbookViewId="0">
      <selection activeCell="L23" sqref="L23"/>
    </sheetView>
  </sheetViews>
  <sheetFormatPr defaultRowHeight="16.5" x14ac:dyDescent="0.3"/>
  <cols>
    <col min="1" max="1" width="9" style="2"/>
    <col min="2" max="2" width="12.375" style="2" bestFit="1" customWidth="1"/>
    <col min="3" max="3" width="12.375" style="2" customWidth="1"/>
    <col min="4" max="5" width="12.625" style="2" customWidth="1"/>
  </cols>
  <sheetData>
    <row r="1" spans="1:5" x14ac:dyDescent="0.3">
      <c r="A1" s="22" t="s">
        <v>30</v>
      </c>
      <c r="B1" s="23" t="s">
        <v>46</v>
      </c>
      <c r="C1" s="23" t="s">
        <v>47</v>
      </c>
      <c r="D1" s="24" t="s">
        <v>48</v>
      </c>
      <c r="E1" s="24"/>
    </row>
    <row r="2" spans="1:5" ht="180" customHeight="1" x14ac:dyDescent="0.3">
      <c r="A2" s="22">
        <v>1</v>
      </c>
      <c r="B2" s="25" t="s">
        <v>31</v>
      </c>
      <c r="C2" s="25" t="s">
        <v>26</v>
      </c>
      <c r="D2" s="19"/>
      <c r="E2" s="19"/>
    </row>
    <row r="3" spans="1:5" ht="180" customHeight="1" x14ac:dyDescent="0.3">
      <c r="A3" s="22">
        <v>2</v>
      </c>
      <c r="B3" s="25" t="s">
        <v>32</v>
      </c>
      <c r="C3" s="25" t="s">
        <v>42</v>
      </c>
      <c r="D3" s="19"/>
      <c r="E3" s="19"/>
    </row>
    <row r="4" spans="1:5" ht="180" customHeight="1" x14ac:dyDescent="0.3">
      <c r="A4" s="22">
        <v>3</v>
      </c>
      <c r="B4" s="25" t="s">
        <v>33</v>
      </c>
      <c r="C4" s="25" t="s">
        <v>34</v>
      </c>
      <c r="D4" s="19"/>
      <c r="E4" s="19"/>
    </row>
    <row r="5" spans="1:5" ht="180" customHeight="1" x14ac:dyDescent="0.3">
      <c r="A5" s="22">
        <v>4</v>
      </c>
      <c r="B5" s="25" t="s">
        <v>43</v>
      </c>
      <c r="C5" s="25" t="s">
        <v>35</v>
      </c>
      <c r="D5" s="19"/>
      <c r="E5" s="19"/>
    </row>
    <row r="6" spans="1:5" ht="180" customHeight="1" x14ac:dyDescent="0.3">
      <c r="A6" s="22">
        <v>5</v>
      </c>
      <c r="B6" s="25" t="s">
        <v>43</v>
      </c>
      <c r="C6" s="25" t="s">
        <v>36</v>
      </c>
      <c r="D6" s="19"/>
      <c r="E6" s="19"/>
    </row>
    <row r="7" spans="1:5" ht="180" customHeight="1" x14ac:dyDescent="0.3">
      <c r="A7" s="22">
        <v>6</v>
      </c>
      <c r="B7" s="25" t="s">
        <v>43</v>
      </c>
      <c r="C7" s="25" t="s">
        <v>37</v>
      </c>
      <c r="D7" s="19"/>
      <c r="E7" s="19"/>
    </row>
    <row r="8" spans="1:5" ht="180" customHeight="1" x14ac:dyDescent="0.3">
      <c r="A8" s="22">
        <v>7</v>
      </c>
      <c r="B8" s="25" t="s">
        <v>44</v>
      </c>
      <c r="C8" s="25" t="s">
        <v>26</v>
      </c>
      <c r="D8" s="19"/>
      <c r="E8" s="19"/>
    </row>
    <row r="9" spans="1:5" ht="180" customHeight="1" x14ac:dyDescent="0.3">
      <c r="A9" s="22">
        <v>8</v>
      </c>
      <c r="B9" s="25" t="s">
        <v>44</v>
      </c>
      <c r="C9" s="25" t="s">
        <v>38</v>
      </c>
      <c r="D9" s="19"/>
      <c r="E9" s="19"/>
    </row>
    <row r="10" spans="1:5" ht="180" customHeight="1" x14ac:dyDescent="0.3">
      <c r="A10" s="22">
        <v>9</v>
      </c>
      <c r="B10" s="25" t="s">
        <v>44</v>
      </c>
      <c r="C10" s="25" t="s">
        <v>39</v>
      </c>
      <c r="D10" s="19"/>
      <c r="E10" s="19"/>
    </row>
    <row r="11" spans="1:5" ht="180" customHeight="1" x14ac:dyDescent="0.3">
      <c r="A11" s="22">
        <v>10</v>
      </c>
      <c r="B11" s="25" t="s">
        <v>44</v>
      </c>
      <c r="C11" s="25" t="s">
        <v>34</v>
      </c>
      <c r="D11" s="19"/>
      <c r="E11" s="19"/>
    </row>
    <row r="12" spans="1:5" ht="180" customHeight="1" x14ac:dyDescent="0.3">
      <c r="A12" s="22">
        <v>11</v>
      </c>
      <c r="B12" s="25" t="s">
        <v>45</v>
      </c>
      <c r="C12" s="25" t="s">
        <v>35</v>
      </c>
      <c r="D12" s="19"/>
      <c r="E12" s="19"/>
    </row>
    <row r="13" spans="1:5" ht="180" customHeight="1" x14ac:dyDescent="0.3">
      <c r="A13" s="22">
        <v>12</v>
      </c>
      <c r="B13" s="25" t="s">
        <v>45</v>
      </c>
      <c r="C13" s="25" t="s">
        <v>0</v>
      </c>
      <c r="D13" s="19"/>
      <c r="E13" s="19"/>
    </row>
    <row r="14" spans="1:5" ht="180" customHeight="1" x14ac:dyDescent="0.3">
      <c r="A14" s="22">
        <v>13</v>
      </c>
      <c r="B14" s="25" t="s">
        <v>45</v>
      </c>
      <c r="C14" s="25" t="s">
        <v>40</v>
      </c>
      <c r="D14" s="19"/>
      <c r="E14" s="19"/>
    </row>
    <row r="15" spans="1:5" ht="180" customHeight="1" x14ac:dyDescent="0.3">
      <c r="A15" s="22">
        <v>14</v>
      </c>
      <c r="B15" s="25" t="s">
        <v>45</v>
      </c>
      <c r="C15" s="25" t="s">
        <v>41</v>
      </c>
      <c r="D15" s="19"/>
      <c r="E15" s="19"/>
    </row>
  </sheetData>
  <mergeCells count="15">
    <mergeCell ref="D13:E13"/>
    <mergeCell ref="D14:E14"/>
    <mergeCell ref="D15:E15"/>
    <mergeCell ref="D1:E1"/>
    <mergeCell ref="D8:E8"/>
    <mergeCell ref="D9:E9"/>
    <mergeCell ref="D10:E10"/>
    <mergeCell ref="D11:E11"/>
    <mergeCell ref="D12:E12"/>
    <mergeCell ref="D2:E2"/>
    <mergeCell ref="D3:E3"/>
    <mergeCell ref="D4:E4"/>
    <mergeCell ref="D5:E5"/>
    <mergeCell ref="D6:E6"/>
    <mergeCell ref="D7:E7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선형열교</vt:lpstr>
      <vt:lpstr>이미지_선형열교</vt:lpstr>
      <vt:lpstr>이미지_바닥유형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2023-04-26T00:20:11Z</dcterms:created>
  <dcterms:modified xsi:type="dcterms:W3CDTF">2023-04-26T01:44:30Z</dcterms:modified>
</cp:coreProperties>
</file>