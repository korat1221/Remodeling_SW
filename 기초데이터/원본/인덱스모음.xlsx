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2.index\"/>
    </mc:Choice>
  </mc:AlternateContent>
  <bookViews>
    <workbookView xWindow="0" yWindow="0" windowWidth="38400" windowHeight="7995" firstSheet="4" activeTab="9"/>
  </bookViews>
  <sheets>
    <sheet name="메인index" sheetId="1" r:id="rId1"/>
    <sheet name="건물index" sheetId="2" r:id="rId2"/>
    <sheet name="커튼월index" sheetId="3" r:id="rId3"/>
    <sheet name="외벽index" sheetId="4" r:id="rId4"/>
    <sheet name="지붕index" sheetId="5" r:id="rId5"/>
    <sheet name="바닥index" sheetId="6" r:id="rId6"/>
    <sheet name="창호index" sheetId="9" r:id="rId7"/>
    <sheet name="출입문index" sheetId="10" r:id="rId8"/>
    <sheet name="외피index" sheetId="11" r:id="rId9"/>
    <sheet name="존일반index" sheetId="12" r:id="rId10"/>
    <sheet name="음영차양index" sheetId="13" r:id="rId11"/>
  </sheets>
  <externalReferences>
    <externalReference r:id="rId12"/>
  </externalReferences>
  <definedNames>
    <definedName name="냉난방여부">IF([1]용도프로필_존정보!$X$8&lt;&gt;[1]그림index!$A$2,[1]그림index!$B$1,[1]그림index!$B$2)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5" i="12" l="1"/>
  <c r="L83" i="12"/>
  <c r="I83" i="12"/>
  <c r="H83" i="12"/>
  <c r="E83" i="12"/>
  <c r="D83" i="12"/>
  <c r="K82" i="12"/>
  <c r="E82" i="12"/>
  <c r="I80" i="12"/>
  <c r="H80" i="12"/>
  <c r="E80" i="12"/>
  <c r="I79" i="12"/>
  <c r="H79" i="12"/>
  <c r="D79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N77" i="12"/>
  <c r="N82" i="12" s="1"/>
  <c r="M77" i="12"/>
  <c r="M81" i="12" s="1"/>
  <c r="L77" i="12"/>
  <c r="L80" i="12" s="1"/>
  <c r="K77" i="12"/>
  <c r="K85" i="12" s="1"/>
  <c r="J77" i="12"/>
  <c r="J80" i="12" s="1"/>
  <c r="I77" i="12"/>
  <c r="I85" i="12" s="1"/>
  <c r="H77" i="12"/>
  <c r="H82" i="12" s="1"/>
  <c r="G77" i="12"/>
  <c r="G79" i="12" s="1"/>
  <c r="F77" i="12"/>
  <c r="F84" i="12" s="1"/>
  <c r="E77" i="12"/>
  <c r="E85" i="12" s="1"/>
  <c r="D77" i="12"/>
  <c r="D84" i="12" s="1"/>
  <c r="C77" i="12"/>
  <c r="C83" i="12" s="1"/>
  <c r="O76" i="12"/>
  <c r="G33" i="12"/>
  <c r="A1" i="12"/>
  <c r="E11" i="12" l="1"/>
  <c r="M79" i="12"/>
  <c r="M82" i="12"/>
  <c r="C80" i="12"/>
  <c r="G11" i="12"/>
  <c r="O78" i="12"/>
  <c r="F11" i="12"/>
  <c r="G80" i="12"/>
  <c r="M83" i="12"/>
  <c r="D11" i="12"/>
  <c r="K80" i="12"/>
  <c r="C84" i="12"/>
  <c r="M80" i="12"/>
  <c r="E84" i="12"/>
  <c r="C81" i="12"/>
  <c r="G84" i="12"/>
  <c r="C11" i="12"/>
  <c r="F81" i="12"/>
  <c r="H84" i="12"/>
  <c r="H81" i="12"/>
  <c r="I84" i="12"/>
  <c r="C82" i="12"/>
  <c r="D85" i="12"/>
  <c r="H11" i="12"/>
  <c r="B11" i="12"/>
  <c r="E79" i="12"/>
  <c r="I82" i="12"/>
  <c r="H85" i="12"/>
  <c r="J79" i="12"/>
  <c r="F83" i="12"/>
  <c r="L85" i="12"/>
  <c r="K79" i="12"/>
  <c r="N80" i="12"/>
  <c r="D82" i="12"/>
  <c r="G83" i="12"/>
  <c r="J84" i="12"/>
  <c r="M85" i="12"/>
  <c r="L79" i="12"/>
  <c r="K84" i="12"/>
  <c r="N85" i="12"/>
  <c r="N81" i="12"/>
  <c r="J85" i="12"/>
  <c r="F82" i="12"/>
  <c r="L84" i="12"/>
  <c r="N79" i="12"/>
  <c r="D81" i="12"/>
  <c r="G82" i="12"/>
  <c r="J83" i="12"/>
  <c r="M84" i="12"/>
  <c r="E81" i="12"/>
  <c r="K83" i="12"/>
  <c r="N84" i="12"/>
  <c r="D80" i="12"/>
  <c r="G81" i="12"/>
  <c r="J82" i="12"/>
  <c r="C85" i="12"/>
  <c r="N83" i="12"/>
  <c r="C79" i="12"/>
  <c r="F80" i="12"/>
  <c r="I81" i="12"/>
  <c r="L82" i="12"/>
  <c r="J81" i="12"/>
  <c r="O77" i="12"/>
  <c r="K81" i="12"/>
  <c r="G85" i="12"/>
  <c r="F79" i="12"/>
  <c r="L81" i="12"/>
  <c r="O83" i="12" l="1"/>
  <c r="O84" i="12"/>
  <c r="O81" i="12"/>
  <c r="O80" i="12"/>
  <c r="O82" i="12"/>
  <c r="O79" i="12"/>
  <c r="O85" i="12"/>
  <c r="C58" i="5" l="1"/>
  <c r="A58" i="5"/>
  <c r="C53" i="5"/>
  <c r="A53" i="5"/>
  <c r="C47" i="5"/>
  <c r="A47" i="5"/>
  <c r="C41" i="5"/>
  <c r="A41" i="5"/>
  <c r="C52" i="4"/>
  <c r="A52" i="4"/>
  <c r="C46" i="4"/>
  <c r="A46" i="4"/>
  <c r="C43" i="4"/>
  <c r="A43" i="4"/>
  <c r="C39" i="4"/>
  <c r="A39" i="4"/>
</calcChain>
</file>

<file path=xl/sharedStrings.xml><?xml version="1.0" encoding="utf-8"?>
<sst xmlns="http://schemas.openxmlformats.org/spreadsheetml/2006/main" count="873" uniqueCount="580">
  <si>
    <t>리모델링 타입</t>
    <phoneticPr fontId="1" type="noConversion"/>
  </si>
  <si>
    <t>기존</t>
    <phoneticPr fontId="1" type="noConversion"/>
  </si>
  <si>
    <t>리트로핏</t>
    <phoneticPr fontId="1" type="noConversion"/>
  </si>
  <si>
    <t>리모델링</t>
    <phoneticPr fontId="1" type="noConversion"/>
  </si>
  <si>
    <t>기후데이터</t>
    <phoneticPr fontId="1" type="noConversion"/>
  </si>
  <si>
    <t>00. 포츠담_2011</t>
  </si>
  <si>
    <t>중부2</t>
  </si>
  <si>
    <t>01. 춘천</t>
  </si>
  <si>
    <t>중부1</t>
  </si>
  <si>
    <t>02. 강릉</t>
  </si>
  <si>
    <t>03. 서울</t>
  </si>
  <si>
    <t>04. 인천</t>
  </si>
  <si>
    <t>05. 원주</t>
  </si>
  <si>
    <t>06. 청주</t>
  </si>
  <si>
    <t>07. 대전</t>
  </si>
  <si>
    <t>08. 대구</t>
  </si>
  <si>
    <t>남부</t>
  </si>
  <si>
    <t>09. 전주</t>
  </si>
  <si>
    <t>10. 광주</t>
  </si>
  <si>
    <t>11. 부산</t>
  </si>
  <si>
    <t>12. 목포</t>
  </si>
  <si>
    <t>13. 서산</t>
  </si>
  <si>
    <t>14. 진주</t>
  </si>
  <si>
    <t>15. 포항</t>
  </si>
  <si>
    <t>16. 제주</t>
  </si>
  <si>
    <t>제주</t>
  </si>
  <si>
    <t>17. 안동</t>
  </si>
  <si>
    <t>18. 수원</t>
  </si>
  <si>
    <t>19. 대관령</t>
  </si>
  <si>
    <t>20. 추풍</t>
  </si>
  <si>
    <t>프로젝트 유형</t>
    <phoneticPr fontId="1" type="noConversion"/>
  </si>
  <si>
    <t>단일 리트로핏</t>
    <phoneticPr fontId="1" type="noConversion"/>
  </si>
  <si>
    <t>단계별 리트로핏</t>
    <phoneticPr fontId="1" type="noConversion"/>
  </si>
  <si>
    <t>사업 성능 목표</t>
    <phoneticPr fontId="1" type="noConversion"/>
  </si>
  <si>
    <t>저에너지건축물 수준</t>
    <phoneticPr fontId="1" type="noConversion"/>
  </si>
  <si>
    <t>패시브하우스 수준</t>
    <phoneticPr fontId="1" type="noConversion"/>
  </si>
  <si>
    <t>제로에너지건축물 수준</t>
    <phoneticPr fontId="1" type="noConversion"/>
  </si>
  <si>
    <t>건물 진단 실시</t>
    <phoneticPr fontId="1" type="noConversion"/>
  </si>
  <si>
    <t>진단정보 활용</t>
    <phoneticPr fontId="1" type="noConversion"/>
  </si>
  <si>
    <t>법규/표준정보 활용</t>
    <phoneticPr fontId="1" type="noConversion"/>
  </si>
  <si>
    <t xml:space="preserve">건물 대상 </t>
    <phoneticPr fontId="1" type="noConversion"/>
  </si>
  <si>
    <t>에너지다소비형건물</t>
    <phoneticPr fontId="1" type="noConversion"/>
  </si>
  <si>
    <t>24시간에너지소비형건물</t>
    <phoneticPr fontId="1" type="noConversion"/>
  </si>
  <si>
    <t>지역주민다중이용건물</t>
    <phoneticPr fontId="1" type="noConversion"/>
  </si>
  <si>
    <t>복지지원형건물</t>
    <phoneticPr fontId="1" type="noConversion"/>
  </si>
  <si>
    <t>건물 용도</t>
    <phoneticPr fontId="1" type="noConversion"/>
  </si>
  <si>
    <t>복지지원형건물</t>
    <phoneticPr fontId="1" type="noConversion"/>
  </si>
  <si>
    <t>정부청사</t>
  </si>
  <si>
    <t>경찰지구대</t>
  </si>
  <si>
    <t>공공도서관</t>
  </si>
  <si>
    <t>노인복지시설</t>
  </si>
  <si>
    <t>소방청사</t>
  </si>
  <si>
    <t>문화체육센터</t>
  </si>
  <si>
    <t>어린이집</t>
  </si>
  <si>
    <t>보건소</t>
    <phoneticPr fontId="1" type="noConversion"/>
  </si>
  <si>
    <t>외벽 구조유형</t>
    <phoneticPr fontId="1" type="noConversion"/>
  </si>
  <si>
    <t>철근콘크리트조</t>
    <phoneticPr fontId="1" type="noConversion"/>
  </si>
  <si>
    <t>철골조</t>
    <phoneticPr fontId="1" type="noConversion"/>
  </si>
  <si>
    <t>목구조</t>
    <phoneticPr fontId="1" type="noConversion"/>
  </si>
  <si>
    <t>지붕 구조유형</t>
    <phoneticPr fontId="1" type="noConversion"/>
  </si>
  <si>
    <t>철근콘크리트조</t>
    <phoneticPr fontId="1" type="noConversion"/>
  </si>
  <si>
    <t>프레임재질</t>
    <phoneticPr fontId="1" type="noConversion"/>
  </si>
  <si>
    <t>STS</t>
    <phoneticPr fontId="1" type="noConversion"/>
  </si>
  <si>
    <t>일반ALU</t>
    <phoneticPr fontId="1" type="noConversion"/>
  </si>
  <si>
    <t>단열ALU</t>
    <phoneticPr fontId="1" type="noConversion"/>
  </si>
  <si>
    <t>프레임도어</t>
    <phoneticPr fontId="1" type="noConversion"/>
  </si>
  <si>
    <t>none</t>
    <phoneticPr fontId="1" type="noConversion"/>
  </si>
  <si>
    <t>STS</t>
    <phoneticPr fontId="1" type="noConversion"/>
  </si>
  <si>
    <t>일반ALU</t>
    <phoneticPr fontId="1" type="noConversion"/>
  </si>
  <si>
    <t>제품</t>
    <phoneticPr fontId="1" type="noConversion"/>
  </si>
  <si>
    <t>구조유형</t>
    <phoneticPr fontId="1" type="noConversion"/>
  </si>
  <si>
    <t>콘크리트조</t>
    <phoneticPr fontId="1" type="noConversion"/>
  </si>
  <si>
    <t>기존바닥</t>
    <phoneticPr fontId="1" type="noConversion"/>
  </si>
  <si>
    <t>창호수준</t>
    <phoneticPr fontId="1" type="noConversion"/>
  </si>
  <si>
    <t>법규</t>
    <phoneticPr fontId="1" type="noConversion"/>
  </si>
  <si>
    <t>계산</t>
    <phoneticPr fontId="1" type="noConversion"/>
  </si>
  <si>
    <t>진단</t>
    <phoneticPr fontId="1" type="noConversion"/>
  </si>
  <si>
    <t>바닥유형</t>
    <phoneticPr fontId="1" type="noConversion"/>
  </si>
  <si>
    <t>기존 커튼월창</t>
    <phoneticPr fontId="1" type="noConversion"/>
  </si>
  <si>
    <t>신규 커튼월창</t>
    <phoneticPr fontId="1" type="noConversion"/>
  </si>
  <si>
    <t>철거 후 신규</t>
    <phoneticPr fontId="1" type="noConversion"/>
  </si>
  <si>
    <t>간봉</t>
    <phoneticPr fontId="1" type="noConversion"/>
  </si>
  <si>
    <t>일반간봉</t>
    <phoneticPr fontId="1" type="noConversion"/>
  </si>
  <si>
    <t>단열간봉</t>
    <phoneticPr fontId="1" type="noConversion"/>
  </si>
  <si>
    <t>제품선택</t>
    <phoneticPr fontId="1" type="noConversion"/>
  </si>
  <si>
    <t>실외조건</t>
    <phoneticPr fontId="1" type="noConversion"/>
  </si>
  <si>
    <t>직접외기</t>
    <phoneticPr fontId="1" type="noConversion"/>
  </si>
  <si>
    <t>D</t>
    <phoneticPr fontId="1" type="noConversion"/>
  </si>
  <si>
    <t>간접외기</t>
    <phoneticPr fontId="1" type="noConversion"/>
  </si>
  <si>
    <t>I</t>
    <phoneticPr fontId="1" type="noConversion"/>
  </si>
  <si>
    <t>구조</t>
    <phoneticPr fontId="1" type="noConversion"/>
  </si>
  <si>
    <t>내단열</t>
    <phoneticPr fontId="1" type="noConversion"/>
  </si>
  <si>
    <t>외단열</t>
    <phoneticPr fontId="1" type="noConversion"/>
  </si>
  <si>
    <t>목구조</t>
    <phoneticPr fontId="1" type="noConversion"/>
  </si>
  <si>
    <t>경량철골조</t>
    <phoneticPr fontId="1" type="noConversion"/>
  </si>
  <si>
    <t>설치위치</t>
    <phoneticPr fontId="1" type="noConversion"/>
  </si>
  <si>
    <t>외부측</t>
    <phoneticPr fontId="1" type="noConversion"/>
  </si>
  <si>
    <t>중간</t>
    <phoneticPr fontId="1" type="noConversion"/>
  </si>
  <si>
    <t>내부측</t>
    <phoneticPr fontId="1" type="noConversion"/>
  </si>
  <si>
    <t>none</t>
    <phoneticPr fontId="1" type="noConversion"/>
  </si>
  <si>
    <t>차양종류</t>
    <phoneticPr fontId="1" type="noConversion"/>
  </si>
  <si>
    <t>스크린</t>
    <phoneticPr fontId="1" type="noConversion"/>
  </si>
  <si>
    <t>베네치안</t>
    <phoneticPr fontId="1" type="noConversion"/>
  </si>
  <si>
    <t>롤</t>
    <phoneticPr fontId="1" type="noConversion"/>
  </si>
  <si>
    <t>투과수준</t>
    <phoneticPr fontId="1" type="noConversion"/>
  </si>
  <si>
    <t>없음</t>
    <phoneticPr fontId="1" type="noConversion"/>
  </si>
  <si>
    <t>보통</t>
    <phoneticPr fontId="1" type="noConversion"/>
  </si>
  <si>
    <t>많음</t>
    <phoneticPr fontId="1" type="noConversion"/>
  </si>
  <si>
    <t>색깔</t>
    <phoneticPr fontId="1" type="noConversion"/>
  </si>
  <si>
    <t>흰색</t>
    <phoneticPr fontId="1" type="noConversion"/>
  </si>
  <si>
    <t>밝은</t>
    <phoneticPr fontId="1" type="noConversion"/>
  </si>
  <si>
    <t>보통</t>
    <phoneticPr fontId="1" type="noConversion"/>
  </si>
  <si>
    <t>어두움</t>
    <phoneticPr fontId="1" type="noConversion"/>
  </si>
  <si>
    <t>검은색</t>
    <phoneticPr fontId="1" type="noConversion"/>
  </si>
  <si>
    <t>차양제어</t>
    <phoneticPr fontId="1" type="noConversion"/>
  </si>
  <si>
    <t>수동차양(전동)</t>
  </si>
  <si>
    <t>수동제어</t>
    <phoneticPr fontId="1" type="noConversion"/>
  </si>
  <si>
    <t>자동제어차양</t>
  </si>
  <si>
    <t>자동제어</t>
    <phoneticPr fontId="1" type="noConversion"/>
  </si>
  <si>
    <t>빛조절차양(수동,전동)</t>
    <phoneticPr fontId="1" type="noConversion"/>
  </si>
  <si>
    <t>수동제어</t>
    <phoneticPr fontId="1" type="noConversion"/>
  </si>
  <si>
    <t>빛조절차양(자동)</t>
    <phoneticPr fontId="1" type="noConversion"/>
  </si>
  <si>
    <t>차양없음</t>
  </si>
  <si>
    <t>제어방법</t>
    <phoneticPr fontId="1" type="noConversion"/>
  </si>
  <si>
    <t>일사중심</t>
    <phoneticPr fontId="1" type="noConversion"/>
  </si>
  <si>
    <t>채광중심</t>
    <phoneticPr fontId="1" type="noConversion"/>
  </si>
  <si>
    <t>채광제어</t>
    <phoneticPr fontId="1" type="noConversion"/>
  </si>
  <si>
    <t>음영각도</t>
    <phoneticPr fontId="1" type="noConversion"/>
  </si>
  <si>
    <t>형태</t>
    <phoneticPr fontId="1" type="noConversion"/>
  </si>
  <si>
    <t>기본형</t>
    <phoneticPr fontId="1" type="noConversion"/>
  </si>
  <si>
    <t>3단형</t>
    <phoneticPr fontId="1" type="noConversion"/>
  </si>
  <si>
    <t>4단형</t>
    <phoneticPr fontId="1" type="noConversion"/>
  </si>
  <si>
    <t>유형</t>
    <phoneticPr fontId="1" type="noConversion"/>
  </si>
  <si>
    <t>기호</t>
    <phoneticPr fontId="1" type="noConversion"/>
  </si>
  <si>
    <t>외벽</t>
    <phoneticPr fontId="1" type="noConversion"/>
  </si>
  <si>
    <t>WL</t>
    <phoneticPr fontId="1" type="noConversion"/>
  </si>
  <si>
    <t>지붕</t>
    <phoneticPr fontId="1" type="noConversion"/>
  </si>
  <si>
    <t>RF</t>
    <phoneticPr fontId="1" type="noConversion"/>
  </si>
  <si>
    <t>바닥</t>
    <phoneticPr fontId="1" type="noConversion"/>
  </si>
  <si>
    <t>FR</t>
    <phoneticPr fontId="1" type="noConversion"/>
  </si>
  <si>
    <t>창호</t>
    <phoneticPr fontId="1" type="noConversion"/>
  </si>
  <si>
    <t>WIN</t>
    <phoneticPr fontId="1" type="noConversion"/>
  </si>
  <si>
    <t>커튼월</t>
    <phoneticPr fontId="1" type="noConversion"/>
  </si>
  <si>
    <t>CW</t>
    <phoneticPr fontId="1" type="noConversion"/>
  </si>
  <si>
    <t>문</t>
    <phoneticPr fontId="1" type="noConversion"/>
  </si>
  <si>
    <t>DR</t>
    <phoneticPr fontId="1" type="noConversion"/>
  </si>
  <si>
    <t>방위</t>
    <phoneticPr fontId="1" type="noConversion"/>
  </si>
  <si>
    <t>남</t>
  </si>
  <si>
    <t>남동</t>
  </si>
  <si>
    <t>남서</t>
  </si>
  <si>
    <t>동</t>
  </si>
  <si>
    <t>서</t>
  </si>
  <si>
    <t>북서</t>
  </si>
  <si>
    <t>북동</t>
  </si>
  <si>
    <t>북</t>
  </si>
  <si>
    <t>점형 DB</t>
    <phoneticPr fontId="1" type="noConversion"/>
  </si>
  <si>
    <t>직접고정</t>
    <phoneticPr fontId="1" type="noConversion"/>
  </si>
  <si>
    <t>트러스(점형)</t>
    <phoneticPr fontId="1" type="noConversion"/>
  </si>
  <si>
    <t>선형 DB</t>
    <phoneticPr fontId="1" type="noConversion"/>
  </si>
  <si>
    <t>금속스터드</t>
    <phoneticPr fontId="3" type="noConversion"/>
  </si>
  <si>
    <t>단열패널</t>
    <phoneticPr fontId="3" type="noConversion"/>
  </si>
  <si>
    <t>목재스터드</t>
    <phoneticPr fontId="3" type="noConversion"/>
  </si>
  <si>
    <t>트러스(선형)</t>
    <phoneticPr fontId="1" type="noConversion"/>
  </si>
  <si>
    <t>내단열</t>
    <phoneticPr fontId="3" type="noConversion"/>
  </si>
  <si>
    <t>외장재색</t>
    <phoneticPr fontId="1" type="noConversion"/>
  </si>
  <si>
    <t>흰색</t>
    <phoneticPr fontId="1" type="noConversion"/>
  </si>
  <si>
    <t>밝음</t>
    <phoneticPr fontId="1" type="noConversion"/>
  </si>
  <si>
    <t>보통</t>
    <phoneticPr fontId="1" type="noConversion"/>
  </si>
  <si>
    <t>어두움</t>
    <phoneticPr fontId="1" type="noConversion"/>
  </si>
  <si>
    <t>검은색</t>
    <phoneticPr fontId="1" type="noConversion"/>
  </si>
  <si>
    <t>구조유형</t>
    <phoneticPr fontId="1" type="noConversion"/>
  </si>
  <si>
    <t>경량철골조</t>
    <phoneticPr fontId="1" type="noConversion"/>
  </si>
  <si>
    <t>목구조</t>
    <phoneticPr fontId="1" type="noConversion"/>
  </si>
  <si>
    <t>콘크리트조</t>
    <phoneticPr fontId="1" type="noConversion"/>
  </si>
  <si>
    <t>기존외벽</t>
    <phoneticPr fontId="1" type="noConversion"/>
  </si>
  <si>
    <t>단열수준</t>
    <phoneticPr fontId="1" type="noConversion"/>
  </si>
  <si>
    <t>법규</t>
    <phoneticPr fontId="1" type="noConversion"/>
  </si>
  <si>
    <t>계산</t>
    <phoneticPr fontId="1" type="noConversion"/>
  </si>
  <si>
    <t>진단</t>
    <phoneticPr fontId="1" type="noConversion"/>
  </si>
  <si>
    <t>외벽유형</t>
    <phoneticPr fontId="1" type="noConversion"/>
  </si>
  <si>
    <t>신규</t>
    <phoneticPr fontId="1" type="noConversion"/>
  </si>
  <si>
    <t>철거 후 신규</t>
    <phoneticPr fontId="1" type="noConversion"/>
  </si>
  <si>
    <t>외부덧댐</t>
    <phoneticPr fontId="1" type="noConversion"/>
  </si>
  <si>
    <t>내부덧댐</t>
    <phoneticPr fontId="1" type="noConversion"/>
  </si>
  <si>
    <t>커튼월덧댐</t>
    <phoneticPr fontId="1" type="noConversion"/>
  </si>
  <si>
    <t>금속스터드</t>
    <phoneticPr fontId="1" type="noConversion"/>
  </si>
  <si>
    <t>단열패널</t>
    <phoneticPr fontId="1" type="noConversion"/>
  </si>
  <si>
    <t>목재스터드</t>
    <phoneticPr fontId="1" type="noConversion"/>
  </si>
  <si>
    <t>내단열</t>
    <phoneticPr fontId="1" type="noConversion"/>
  </si>
  <si>
    <t>실내외표면열전달저항</t>
    <phoneticPr fontId="1" type="noConversion"/>
  </si>
  <si>
    <t>ISO 6946</t>
    <phoneticPr fontId="1" type="noConversion"/>
  </si>
  <si>
    <t>건축물에너지절약기준</t>
    <phoneticPr fontId="1" type="noConversion"/>
  </si>
  <si>
    <t>직접/간접</t>
    <phoneticPr fontId="1" type="noConversion"/>
  </si>
  <si>
    <t>직접외기</t>
    <phoneticPr fontId="1" type="noConversion"/>
  </si>
  <si>
    <t>D</t>
    <phoneticPr fontId="1" type="noConversion"/>
  </si>
  <si>
    <t>간접외기</t>
    <phoneticPr fontId="1" type="noConversion"/>
  </si>
  <si>
    <t>I</t>
    <phoneticPr fontId="1" type="noConversion"/>
  </si>
  <si>
    <t>지면</t>
    <phoneticPr fontId="1" type="noConversion"/>
  </si>
  <si>
    <t>S</t>
    <phoneticPr fontId="1" type="noConversion"/>
  </si>
  <si>
    <t>자재구분</t>
    <phoneticPr fontId="1" type="noConversion"/>
  </si>
  <si>
    <t>기존외벽</t>
    <phoneticPr fontId="1" type="noConversion"/>
  </si>
  <si>
    <t>단열재</t>
    <phoneticPr fontId="1" type="noConversion"/>
  </si>
  <si>
    <t>콘크리트</t>
    <phoneticPr fontId="1" type="noConversion"/>
  </si>
  <si>
    <t>조적</t>
    <phoneticPr fontId="1" type="noConversion"/>
  </si>
  <si>
    <t>패널</t>
    <phoneticPr fontId="1" type="noConversion"/>
  </si>
  <si>
    <t>미장</t>
    <phoneticPr fontId="1" type="noConversion"/>
  </si>
  <si>
    <t>기타</t>
    <phoneticPr fontId="1" type="noConversion"/>
  </si>
  <si>
    <t>커튼월</t>
    <phoneticPr fontId="1" type="noConversion"/>
  </si>
  <si>
    <t>유형</t>
    <phoneticPr fontId="1" type="noConversion"/>
  </si>
  <si>
    <t>기호</t>
    <phoneticPr fontId="1" type="noConversion"/>
  </si>
  <si>
    <t>외벽</t>
    <phoneticPr fontId="1" type="noConversion"/>
  </si>
  <si>
    <t>WL</t>
    <phoneticPr fontId="1" type="noConversion"/>
  </si>
  <si>
    <t>지붕</t>
    <phoneticPr fontId="1" type="noConversion"/>
  </si>
  <si>
    <t>RF</t>
    <phoneticPr fontId="1" type="noConversion"/>
  </si>
  <si>
    <t>바닥</t>
    <phoneticPr fontId="1" type="noConversion"/>
  </si>
  <si>
    <t>FR</t>
    <phoneticPr fontId="1" type="noConversion"/>
  </si>
  <si>
    <t>창호</t>
    <phoneticPr fontId="1" type="noConversion"/>
  </si>
  <si>
    <t>WIN</t>
    <phoneticPr fontId="1" type="noConversion"/>
  </si>
  <si>
    <t>CW</t>
    <phoneticPr fontId="1" type="noConversion"/>
  </si>
  <si>
    <t>문</t>
    <phoneticPr fontId="1" type="noConversion"/>
  </si>
  <si>
    <t>DR</t>
    <phoneticPr fontId="1" type="noConversion"/>
  </si>
  <si>
    <t>경량_일반형</t>
    <phoneticPr fontId="1" type="noConversion"/>
  </si>
  <si>
    <t>경량_덧댐형</t>
    <phoneticPr fontId="1" type="noConversion"/>
  </si>
  <si>
    <t>목조_일반형</t>
    <phoneticPr fontId="1" type="noConversion"/>
  </si>
  <si>
    <t>목조_덧댐형</t>
    <phoneticPr fontId="1" type="noConversion"/>
  </si>
  <si>
    <t>내단열(보선형)</t>
    <phoneticPr fontId="1" type="noConversion"/>
  </si>
  <si>
    <t>경량_단열패널</t>
    <phoneticPr fontId="1" type="noConversion"/>
  </si>
  <si>
    <t>기존지붕</t>
    <phoneticPr fontId="1" type="noConversion"/>
  </si>
  <si>
    <t>지붕유형</t>
    <phoneticPr fontId="1" type="noConversion"/>
  </si>
  <si>
    <t>내단열(보선형)</t>
    <phoneticPr fontId="1" type="noConversion"/>
  </si>
  <si>
    <t>내부덧댐</t>
    <phoneticPr fontId="1" type="noConversion"/>
  </si>
  <si>
    <t>트러스(점형)</t>
    <phoneticPr fontId="1" type="noConversion"/>
  </si>
  <si>
    <t>실외조건</t>
    <phoneticPr fontId="1" type="noConversion"/>
  </si>
  <si>
    <t>I</t>
    <phoneticPr fontId="1" type="noConversion"/>
  </si>
  <si>
    <t>기존지붕</t>
    <phoneticPr fontId="1" type="noConversion"/>
  </si>
  <si>
    <t>단열재</t>
  </si>
  <si>
    <t>콘크리트</t>
  </si>
  <si>
    <t>조적</t>
  </si>
  <si>
    <t>패널</t>
  </si>
  <si>
    <t>미장</t>
  </si>
  <si>
    <t>기타</t>
  </si>
  <si>
    <t>열교유형</t>
    <phoneticPr fontId="1" type="noConversion"/>
  </si>
  <si>
    <t>트러스(선형)</t>
    <phoneticPr fontId="1" type="noConversion"/>
  </si>
  <si>
    <t>경량_일반형</t>
    <phoneticPr fontId="1" type="noConversion"/>
  </si>
  <si>
    <t>경량_덧댐형</t>
    <phoneticPr fontId="1" type="noConversion"/>
  </si>
  <si>
    <t>목조_일반형</t>
    <phoneticPr fontId="1" type="noConversion"/>
  </si>
  <si>
    <t>내단열(보선형)</t>
    <phoneticPr fontId="1" type="noConversion"/>
  </si>
  <si>
    <t>내부덧댐</t>
    <phoneticPr fontId="1" type="noConversion"/>
  </si>
  <si>
    <t>CW</t>
    <phoneticPr fontId="1" type="noConversion"/>
  </si>
  <si>
    <t>문</t>
    <phoneticPr fontId="1" type="noConversion"/>
  </si>
  <si>
    <t>DR</t>
    <phoneticPr fontId="1" type="noConversion"/>
  </si>
  <si>
    <t>외부덧댐형</t>
    <phoneticPr fontId="1" type="noConversion"/>
  </si>
  <si>
    <t>외단열</t>
    <phoneticPr fontId="1" type="noConversion"/>
  </si>
  <si>
    <t>기초설치</t>
    <phoneticPr fontId="1" type="noConversion"/>
  </si>
  <si>
    <t>지면위</t>
    <phoneticPr fontId="1" type="noConversion"/>
  </si>
  <si>
    <t>단열지하실</t>
    <phoneticPr fontId="1" type="noConversion"/>
  </si>
  <si>
    <t>비단열지하실</t>
    <phoneticPr fontId="1" type="noConversion"/>
  </si>
  <si>
    <t>바닥(외기)</t>
    <phoneticPr fontId="1" type="noConversion"/>
  </si>
  <si>
    <t>기존바닥</t>
    <phoneticPr fontId="1" type="noConversion"/>
  </si>
  <si>
    <t>계산</t>
    <phoneticPr fontId="1" type="noConversion"/>
  </si>
  <si>
    <t>바닥유형</t>
    <phoneticPr fontId="1" type="noConversion"/>
  </si>
  <si>
    <t>기존바닥</t>
    <phoneticPr fontId="1" type="noConversion"/>
  </si>
  <si>
    <t>신규</t>
    <phoneticPr fontId="1" type="noConversion"/>
  </si>
  <si>
    <t>내부덧댐</t>
    <phoneticPr fontId="1" type="noConversion"/>
  </si>
  <si>
    <t>재품DB</t>
    <phoneticPr fontId="1" type="noConversion"/>
  </si>
  <si>
    <t>보선형(끊김)</t>
    <phoneticPr fontId="1" type="noConversion"/>
  </si>
  <si>
    <t>보선형(연결)</t>
    <phoneticPr fontId="1" type="noConversion"/>
  </si>
  <si>
    <t>실내외표면열전달저항</t>
    <phoneticPr fontId="1" type="noConversion"/>
  </si>
  <si>
    <t>ISO 6946</t>
    <phoneticPr fontId="1" type="noConversion"/>
  </si>
  <si>
    <t>건축물에너지절약기준</t>
    <phoneticPr fontId="1" type="noConversion"/>
  </si>
  <si>
    <t>실외조건</t>
    <phoneticPr fontId="1" type="noConversion"/>
  </si>
  <si>
    <t>간접외기</t>
    <phoneticPr fontId="1" type="noConversion"/>
  </si>
  <si>
    <t>지면</t>
    <phoneticPr fontId="1" type="noConversion"/>
  </si>
  <si>
    <t>S</t>
    <phoneticPr fontId="1" type="noConversion"/>
  </si>
  <si>
    <t>자재구분</t>
    <phoneticPr fontId="1" type="noConversion"/>
  </si>
  <si>
    <t>열교유형</t>
    <phoneticPr fontId="1" type="noConversion"/>
  </si>
  <si>
    <t>트러스(점형)</t>
    <phoneticPr fontId="1" type="noConversion"/>
  </si>
  <si>
    <t>트러스(선형)</t>
    <phoneticPr fontId="1" type="noConversion"/>
  </si>
  <si>
    <t>경량_일반형</t>
    <phoneticPr fontId="1" type="noConversion"/>
  </si>
  <si>
    <t>경량_덧댐형</t>
    <phoneticPr fontId="1" type="noConversion"/>
  </si>
  <si>
    <t>목조_일반형</t>
    <phoneticPr fontId="1" type="noConversion"/>
  </si>
  <si>
    <t>목조_덧댐형</t>
    <phoneticPr fontId="1" type="noConversion"/>
  </si>
  <si>
    <t>유형</t>
    <phoneticPr fontId="1" type="noConversion"/>
  </si>
  <si>
    <t>외벽</t>
    <phoneticPr fontId="1" type="noConversion"/>
  </si>
  <si>
    <t>WL</t>
    <phoneticPr fontId="1" type="noConversion"/>
  </si>
  <si>
    <t>바닥</t>
    <phoneticPr fontId="1" type="noConversion"/>
  </si>
  <si>
    <t>FR</t>
    <phoneticPr fontId="1" type="noConversion"/>
  </si>
  <si>
    <t>창호</t>
    <phoneticPr fontId="1" type="noConversion"/>
  </si>
  <si>
    <t>WIN</t>
    <phoneticPr fontId="1" type="noConversion"/>
  </si>
  <si>
    <t>문</t>
    <phoneticPr fontId="1" type="noConversion"/>
  </si>
  <si>
    <t>프레임재질</t>
    <phoneticPr fontId="1" type="noConversion"/>
  </si>
  <si>
    <t>플라스틱</t>
    <phoneticPr fontId="1" type="noConversion"/>
  </si>
  <si>
    <t>금속</t>
    <phoneticPr fontId="1" type="noConversion"/>
  </si>
  <si>
    <t>금속_단열바</t>
    <phoneticPr fontId="1" type="noConversion"/>
  </si>
  <si>
    <t>프레임시스템</t>
    <phoneticPr fontId="1" type="noConversion"/>
  </si>
  <si>
    <t>단창_T/T</t>
    <phoneticPr fontId="1" type="noConversion"/>
  </si>
  <si>
    <t>단창_SL</t>
    <phoneticPr fontId="1" type="noConversion"/>
  </si>
  <si>
    <t>이중창_SL</t>
    <phoneticPr fontId="1" type="noConversion"/>
  </si>
  <si>
    <t>구조유형</t>
    <phoneticPr fontId="1" type="noConversion"/>
  </si>
  <si>
    <t>콘크리트조</t>
    <phoneticPr fontId="1" type="noConversion"/>
  </si>
  <si>
    <t>기존바닥</t>
    <phoneticPr fontId="1" type="noConversion"/>
  </si>
  <si>
    <t>창호수준</t>
    <phoneticPr fontId="1" type="noConversion"/>
  </si>
  <si>
    <t>법규</t>
    <phoneticPr fontId="1" type="noConversion"/>
  </si>
  <si>
    <t>계산</t>
    <phoneticPr fontId="1" type="noConversion"/>
  </si>
  <si>
    <t>진단</t>
    <phoneticPr fontId="1" type="noConversion"/>
  </si>
  <si>
    <t>창호유형</t>
    <phoneticPr fontId="1" type="noConversion"/>
  </si>
  <si>
    <t>기존창호</t>
    <phoneticPr fontId="1" type="noConversion"/>
  </si>
  <si>
    <t>신규</t>
    <phoneticPr fontId="1" type="noConversion"/>
  </si>
  <si>
    <t>철거 후 신규</t>
    <phoneticPr fontId="1" type="noConversion"/>
  </si>
  <si>
    <t>외부(커튼월)덧댐</t>
    <phoneticPr fontId="1" type="noConversion"/>
  </si>
  <si>
    <t>내부덧댐</t>
    <phoneticPr fontId="1" type="noConversion"/>
  </si>
  <si>
    <t>간봉</t>
    <phoneticPr fontId="1" type="noConversion"/>
  </si>
  <si>
    <t>일반간봉</t>
    <phoneticPr fontId="1" type="noConversion"/>
  </si>
  <si>
    <t>단열간봉</t>
    <phoneticPr fontId="1" type="noConversion"/>
  </si>
  <si>
    <t>제품선택</t>
    <phoneticPr fontId="1" type="noConversion"/>
  </si>
  <si>
    <t>실외조건</t>
    <phoneticPr fontId="1" type="noConversion"/>
  </si>
  <si>
    <t>직접외기</t>
    <phoneticPr fontId="1" type="noConversion"/>
  </si>
  <si>
    <t>D</t>
    <phoneticPr fontId="1" type="noConversion"/>
  </si>
  <si>
    <t>간접외기</t>
    <phoneticPr fontId="1" type="noConversion"/>
  </si>
  <si>
    <t>I</t>
    <phoneticPr fontId="1" type="noConversion"/>
  </si>
  <si>
    <t>구조</t>
    <phoneticPr fontId="1" type="noConversion"/>
  </si>
  <si>
    <t>내단열</t>
    <phoneticPr fontId="1" type="noConversion"/>
  </si>
  <si>
    <t>외단열</t>
    <phoneticPr fontId="1" type="noConversion"/>
  </si>
  <si>
    <t>목구조</t>
    <phoneticPr fontId="1" type="noConversion"/>
  </si>
  <si>
    <t>경량철골조</t>
    <phoneticPr fontId="1" type="noConversion"/>
  </si>
  <si>
    <t>설치위치</t>
    <phoneticPr fontId="1" type="noConversion"/>
  </si>
  <si>
    <t>외부측</t>
    <phoneticPr fontId="1" type="noConversion"/>
  </si>
  <si>
    <t>중간</t>
    <phoneticPr fontId="1" type="noConversion"/>
  </si>
  <si>
    <t>내부측</t>
    <phoneticPr fontId="1" type="noConversion"/>
  </si>
  <si>
    <t>형태</t>
    <phoneticPr fontId="1" type="noConversion"/>
  </si>
  <si>
    <t>기본형</t>
    <phoneticPr fontId="1" type="noConversion"/>
  </si>
  <si>
    <t>3단형</t>
    <phoneticPr fontId="1" type="noConversion"/>
  </si>
  <si>
    <t>4단형</t>
    <phoneticPr fontId="1" type="noConversion"/>
  </si>
  <si>
    <t>유형</t>
    <phoneticPr fontId="1" type="noConversion"/>
  </si>
  <si>
    <t>기호</t>
    <phoneticPr fontId="1" type="noConversion"/>
  </si>
  <si>
    <t>외벽</t>
    <phoneticPr fontId="1" type="noConversion"/>
  </si>
  <si>
    <t>WL</t>
    <phoneticPr fontId="1" type="noConversion"/>
  </si>
  <si>
    <t>지붕</t>
    <phoneticPr fontId="1" type="noConversion"/>
  </si>
  <si>
    <t>RF</t>
    <phoneticPr fontId="1" type="noConversion"/>
  </si>
  <si>
    <t>바닥</t>
    <phoneticPr fontId="1" type="noConversion"/>
  </si>
  <si>
    <t>FR</t>
    <phoneticPr fontId="1" type="noConversion"/>
  </si>
  <si>
    <t>창호</t>
    <phoneticPr fontId="1" type="noConversion"/>
  </si>
  <si>
    <t>WIN</t>
    <phoneticPr fontId="1" type="noConversion"/>
  </si>
  <si>
    <t>커튼월</t>
    <phoneticPr fontId="1" type="noConversion"/>
  </si>
  <si>
    <t>문</t>
    <phoneticPr fontId="1" type="noConversion"/>
  </si>
  <si>
    <t>DR</t>
    <phoneticPr fontId="1" type="noConversion"/>
  </si>
  <si>
    <t>문짝</t>
    <phoneticPr fontId="1" type="noConversion"/>
  </si>
  <si>
    <t>목재문</t>
    <phoneticPr fontId="1" type="noConversion"/>
  </si>
  <si>
    <t>철문</t>
    <phoneticPr fontId="1" type="noConversion"/>
  </si>
  <si>
    <t>단열문</t>
    <phoneticPr fontId="1" type="noConversion"/>
  </si>
  <si>
    <t>출입문유형</t>
    <phoneticPr fontId="1" type="noConversion"/>
  </si>
  <si>
    <t>기존 출입문</t>
    <phoneticPr fontId="1" type="noConversion"/>
  </si>
  <si>
    <t>구조</t>
    <phoneticPr fontId="1" type="noConversion"/>
  </si>
  <si>
    <t>내단열</t>
    <phoneticPr fontId="1" type="noConversion"/>
  </si>
  <si>
    <t>외단열</t>
    <phoneticPr fontId="1" type="noConversion"/>
  </si>
  <si>
    <t>외부측</t>
    <phoneticPr fontId="1" type="noConversion"/>
  </si>
  <si>
    <t>내부구성</t>
    <phoneticPr fontId="1" type="noConversion"/>
  </si>
  <si>
    <t>목재</t>
    <phoneticPr fontId="1" type="noConversion"/>
  </si>
  <si>
    <t>공기</t>
    <phoneticPr fontId="1" type="noConversion"/>
  </si>
  <si>
    <t>단열재</t>
    <phoneticPr fontId="1" type="noConversion"/>
  </si>
  <si>
    <t>시멘트몰탈</t>
    <phoneticPr fontId="1" type="noConversion"/>
  </si>
  <si>
    <t>외장재색</t>
    <phoneticPr fontId="1" type="noConversion"/>
  </si>
  <si>
    <t>흰색</t>
    <phoneticPr fontId="1" type="noConversion"/>
  </si>
  <si>
    <t>밝음</t>
    <phoneticPr fontId="1" type="noConversion"/>
  </si>
  <si>
    <t>보통</t>
    <phoneticPr fontId="1" type="noConversion"/>
  </si>
  <si>
    <t>어두움</t>
    <phoneticPr fontId="1" type="noConversion"/>
  </si>
  <si>
    <t>검은색</t>
    <phoneticPr fontId="1" type="noConversion"/>
  </si>
  <si>
    <t>외피 구조체 유형</t>
    <phoneticPr fontId="1" type="noConversion"/>
  </si>
  <si>
    <t>커튼월창</t>
    <phoneticPr fontId="1" type="noConversion"/>
  </si>
  <si>
    <t>CW</t>
    <phoneticPr fontId="1" type="noConversion"/>
  </si>
  <si>
    <t>외벽</t>
    <phoneticPr fontId="1" type="noConversion"/>
  </si>
  <si>
    <t>WL</t>
    <phoneticPr fontId="1" type="noConversion"/>
  </si>
  <si>
    <t>지붕</t>
    <phoneticPr fontId="1" type="noConversion"/>
  </si>
  <si>
    <t>RF</t>
    <phoneticPr fontId="1" type="noConversion"/>
  </si>
  <si>
    <t>최하층바닥</t>
    <phoneticPr fontId="1" type="noConversion"/>
  </si>
  <si>
    <t>FR</t>
    <phoneticPr fontId="1" type="noConversion"/>
  </si>
  <si>
    <t>창호</t>
    <phoneticPr fontId="1" type="noConversion"/>
  </si>
  <si>
    <t>WIN</t>
    <phoneticPr fontId="1" type="noConversion"/>
  </si>
  <si>
    <t>외부출입문</t>
    <phoneticPr fontId="1" type="noConversion"/>
  </si>
  <si>
    <t>DR</t>
    <phoneticPr fontId="1" type="noConversion"/>
  </si>
  <si>
    <t>내벽</t>
    <phoneticPr fontId="1" type="noConversion"/>
  </si>
  <si>
    <t>IW</t>
    <phoneticPr fontId="1" type="noConversion"/>
  </si>
  <si>
    <t>층간바닥</t>
    <phoneticPr fontId="1" type="noConversion"/>
  </si>
  <si>
    <t>SL</t>
    <phoneticPr fontId="1" type="noConversion"/>
  </si>
  <si>
    <t>방위</t>
    <phoneticPr fontId="1" type="noConversion"/>
  </si>
  <si>
    <t>수평</t>
    <phoneticPr fontId="1" type="noConversion"/>
  </si>
  <si>
    <t>-</t>
    <phoneticPr fontId="1" type="noConversion"/>
  </si>
  <si>
    <t>지붕기울기</t>
    <phoneticPr fontId="1" type="noConversion"/>
  </si>
  <si>
    <t>바닥기울기</t>
    <phoneticPr fontId="1" type="noConversion"/>
  </si>
  <si>
    <t>커튼월, 외벽기울기</t>
    <phoneticPr fontId="1" type="noConversion"/>
  </si>
  <si>
    <t>창호기울기</t>
    <phoneticPr fontId="1" type="noConversion"/>
  </si>
  <si>
    <t>음영각도</t>
    <phoneticPr fontId="1" type="noConversion"/>
  </si>
  <si>
    <t>설치위치</t>
    <phoneticPr fontId="1" type="noConversion"/>
  </si>
  <si>
    <t>외부측</t>
    <phoneticPr fontId="1" type="noConversion"/>
  </si>
  <si>
    <t>중간</t>
    <phoneticPr fontId="1" type="noConversion"/>
  </si>
  <si>
    <t>내부측</t>
    <phoneticPr fontId="1" type="noConversion"/>
  </si>
  <si>
    <t>none</t>
    <phoneticPr fontId="1" type="noConversion"/>
  </si>
  <si>
    <t>차양종류</t>
    <phoneticPr fontId="1" type="noConversion"/>
  </si>
  <si>
    <t>스크린</t>
    <phoneticPr fontId="1" type="noConversion"/>
  </si>
  <si>
    <t>베네치안</t>
    <phoneticPr fontId="1" type="noConversion"/>
  </si>
  <si>
    <t>롤</t>
    <phoneticPr fontId="1" type="noConversion"/>
  </si>
  <si>
    <t>투과수준</t>
    <phoneticPr fontId="1" type="noConversion"/>
  </si>
  <si>
    <t>없음</t>
    <phoneticPr fontId="1" type="noConversion"/>
  </si>
  <si>
    <t>보통</t>
    <phoneticPr fontId="1" type="noConversion"/>
  </si>
  <si>
    <t>많음</t>
    <phoneticPr fontId="1" type="noConversion"/>
  </si>
  <si>
    <t>커튼월 부위</t>
    <phoneticPr fontId="1" type="noConversion"/>
  </si>
  <si>
    <t>유리부분</t>
    <phoneticPr fontId="1" type="noConversion"/>
  </si>
  <si>
    <t>패널부분</t>
    <phoneticPr fontId="1" type="noConversion"/>
  </si>
  <si>
    <t>출입문부분</t>
    <phoneticPr fontId="1" type="noConversion"/>
  </si>
  <si>
    <t>에너지다소비형건물</t>
    <phoneticPr fontId="1" type="noConversion"/>
  </si>
  <si>
    <t>정부청사</t>
    <phoneticPr fontId="1" type="noConversion"/>
  </si>
  <si>
    <t>24시간에너지소비형건물</t>
    <phoneticPr fontId="1" type="noConversion"/>
  </si>
  <si>
    <t>경찰지구대</t>
    <phoneticPr fontId="1" type="noConversion"/>
  </si>
  <si>
    <t>24시간에너지소비형건물</t>
    <phoneticPr fontId="1" type="noConversion"/>
  </si>
  <si>
    <t>소방청사</t>
    <phoneticPr fontId="1" type="noConversion"/>
  </si>
  <si>
    <t>지역주민다중이용건물</t>
    <phoneticPr fontId="1" type="noConversion"/>
  </si>
  <si>
    <t>공공도서관</t>
    <phoneticPr fontId="1" type="noConversion"/>
  </si>
  <si>
    <t>지역주민다중이용건물</t>
    <phoneticPr fontId="1" type="noConversion"/>
  </si>
  <si>
    <t>문화체육센터</t>
    <phoneticPr fontId="1" type="noConversion"/>
  </si>
  <si>
    <t>복지지원형건물</t>
    <phoneticPr fontId="1" type="noConversion"/>
  </si>
  <si>
    <t>노인복지시설</t>
    <phoneticPr fontId="1" type="noConversion"/>
  </si>
  <si>
    <t>복지지원형건물</t>
    <phoneticPr fontId="1" type="noConversion"/>
  </si>
  <si>
    <t>어린이집</t>
    <phoneticPr fontId="1" type="noConversion"/>
  </si>
  <si>
    <t>Nr.</t>
    <phoneticPr fontId="1" type="noConversion"/>
  </si>
  <si>
    <t>정부청사</t>
    <phoneticPr fontId="1" type="noConversion"/>
  </si>
  <si>
    <t>경찰지구대</t>
    <phoneticPr fontId="1" type="noConversion"/>
  </si>
  <si>
    <t>소방청사</t>
    <phoneticPr fontId="1" type="noConversion"/>
  </si>
  <si>
    <t>노인복지시설</t>
    <phoneticPr fontId="1" type="noConversion"/>
  </si>
  <si>
    <t>어린이집</t>
    <phoneticPr fontId="1" type="noConversion"/>
  </si>
  <si>
    <t>로비, 홀</t>
  </si>
  <si>
    <t>재실밀도</t>
    <phoneticPr fontId="1" type="noConversion"/>
  </si>
  <si>
    <t>낮음</t>
    <phoneticPr fontId="1" type="noConversion"/>
  </si>
  <si>
    <t>높음</t>
    <phoneticPr fontId="1" type="noConversion"/>
  </si>
  <si>
    <t>이용일 시작 및 종료시간</t>
    <phoneticPr fontId="1" type="noConversion"/>
  </si>
  <si>
    <t>주간이용일</t>
    <phoneticPr fontId="1" type="noConversion"/>
  </si>
  <si>
    <t>이용일수</t>
    <phoneticPr fontId="1" type="noConversion"/>
  </si>
  <si>
    <t>주이용일</t>
    <phoneticPr fontId="1" type="noConversion"/>
  </si>
  <si>
    <t>1월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</si>
  <si>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</si>
  <si>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</si>
  <si>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</si>
  <si>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</si>
  <si>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</si>
  <si>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</si>
  <si>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</si>
  <si>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</si>
  <si>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</si>
  <si>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</si>
  <si>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</si>
  <si>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 xml:space="preserve"> 연간</t>
    <phoneticPr fontId="1" type="noConversion"/>
  </si>
  <si>
    <t>신정</t>
    <phoneticPr fontId="1" type="noConversion"/>
  </si>
  <si>
    <t>삼일절</t>
    <phoneticPr fontId="1" type="noConversion"/>
  </si>
  <si>
    <t>어린이날</t>
    <phoneticPr fontId="1" type="noConversion"/>
  </si>
  <si>
    <t>현충일</t>
    <phoneticPr fontId="1" type="noConversion"/>
  </si>
  <si>
    <t>제헌절</t>
    <phoneticPr fontId="1" type="noConversion"/>
  </si>
  <si>
    <t>광복절</t>
    <phoneticPr fontId="1" type="noConversion"/>
  </si>
  <si>
    <t>추석</t>
    <phoneticPr fontId="1" type="noConversion"/>
  </si>
  <si>
    <t>개천절</t>
    <phoneticPr fontId="1" type="noConversion"/>
  </si>
  <si>
    <t>크리스마스</t>
    <phoneticPr fontId="1" type="noConversion"/>
  </si>
  <si>
    <t>설날</t>
    <phoneticPr fontId="1" type="noConversion"/>
  </si>
  <si>
    <t>설날</t>
    <phoneticPr fontId="1" type="noConversion"/>
  </si>
  <si>
    <t>부처님오신날</t>
    <phoneticPr fontId="1" type="noConversion"/>
  </si>
  <si>
    <t>한글날</t>
    <phoneticPr fontId="1" type="noConversion"/>
  </si>
  <si>
    <t>일</t>
    <phoneticPr fontId="1" type="noConversion"/>
  </si>
  <si>
    <t>휴일</t>
    <phoneticPr fontId="1" type="noConversion"/>
  </si>
  <si>
    <t>실내습도</t>
    <phoneticPr fontId="1" type="noConversion"/>
  </si>
  <si>
    <t>항온항습</t>
    <phoneticPr fontId="1" type="noConversion"/>
  </si>
  <si>
    <t>최적조절</t>
    <phoneticPr fontId="1" type="noConversion"/>
  </si>
  <si>
    <t>일반조절</t>
    <phoneticPr fontId="1" type="noConversion"/>
  </si>
  <si>
    <t>건물 자동화 온도조절</t>
    <phoneticPr fontId="1" type="noConversion"/>
  </si>
  <si>
    <t>최적화</t>
  </si>
  <si>
    <t>실별자동</t>
  </si>
  <si>
    <t>건물자동</t>
  </si>
  <si>
    <t>일반</t>
  </si>
  <si>
    <t>최적화 온도제어계수</t>
    <phoneticPr fontId="1" type="noConversion"/>
  </si>
  <si>
    <t>밀도</t>
    <phoneticPr fontId="1" type="noConversion"/>
  </si>
  <si>
    <t>직접입력</t>
    <phoneticPr fontId="1" type="noConversion"/>
  </si>
  <si>
    <t>환기방식</t>
    <phoneticPr fontId="1" type="noConversion"/>
  </si>
  <si>
    <t>배기환기(3종)</t>
    <phoneticPr fontId="1" type="noConversion"/>
  </si>
  <si>
    <t>열회수환기</t>
    <phoneticPr fontId="1" type="noConversion"/>
  </si>
  <si>
    <t>바닥유형</t>
    <phoneticPr fontId="1" type="noConversion"/>
  </si>
  <si>
    <t>난방 지하실</t>
    <phoneticPr fontId="1" type="noConversion"/>
  </si>
  <si>
    <t>비난방 지하실</t>
    <phoneticPr fontId="1" type="noConversion"/>
  </si>
  <si>
    <t>지면위</t>
    <phoneticPr fontId="1" type="noConversion"/>
  </si>
  <si>
    <t>층간슬라브</t>
    <phoneticPr fontId="1" type="noConversion"/>
  </si>
  <si>
    <t>축열유형</t>
    <phoneticPr fontId="1" type="noConversion"/>
  </si>
  <si>
    <t>천장</t>
    <phoneticPr fontId="1" type="noConversion"/>
  </si>
  <si>
    <t>전체실링</t>
    <phoneticPr fontId="1" type="noConversion"/>
  </si>
  <si>
    <t>노출실링</t>
    <phoneticPr fontId="1" type="noConversion"/>
  </si>
  <si>
    <t>부분실링</t>
    <phoneticPr fontId="1" type="noConversion"/>
  </si>
  <si>
    <t>(공기층/단열)+보드류</t>
    <phoneticPr fontId="1" type="noConversion"/>
  </si>
  <si>
    <t>(콘크리트/조적)+몰탈</t>
    <phoneticPr fontId="1" type="noConversion"/>
  </si>
  <si>
    <t>알수없음</t>
    <phoneticPr fontId="1" type="noConversion"/>
  </si>
  <si>
    <t>간벽</t>
    <phoneticPr fontId="1" type="noConversion"/>
  </si>
  <si>
    <t>(공기층/단열)+마감재</t>
    <phoneticPr fontId="1" type="noConversion"/>
  </si>
  <si>
    <t>바닥</t>
    <phoneticPr fontId="1" type="noConversion"/>
  </si>
  <si>
    <t>건식</t>
    <phoneticPr fontId="1" type="noConversion"/>
  </si>
  <si>
    <t>습식</t>
    <phoneticPr fontId="1" type="noConversion"/>
  </si>
  <si>
    <t>기밀성능(q50)</t>
    <phoneticPr fontId="1" type="noConversion"/>
  </si>
  <si>
    <t>내부존</t>
    <phoneticPr fontId="1" type="noConversion"/>
  </si>
  <si>
    <t>출입문존</t>
    <phoneticPr fontId="1" type="noConversion"/>
  </si>
  <si>
    <t>외부존</t>
    <phoneticPr fontId="1" type="noConversion"/>
  </si>
  <si>
    <t>기밀적용방법</t>
    <phoneticPr fontId="1" type="noConversion"/>
  </si>
  <si>
    <t>측정값</t>
    <phoneticPr fontId="1" type="noConversion"/>
  </si>
  <si>
    <t>설계값</t>
    <phoneticPr fontId="1" type="noConversion"/>
  </si>
  <si>
    <t>단독 사무실</t>
  </si>
  <si>
    <t>소규모 사무실</t>
  </si>
  <si>
    <t>대규모 사무실</t>
  </si>
  <si>
    <t>회의실 및 세미나실</t>
  </si>
  <si>
    <t>구내식당</t>
  </si>
  <si>
    <t>주방 및 조리실</t>
  </si>
  <si>
    <t>강당</t>
  </si>
  <si>
    <t>교실(초,중,고)</t>
  </si>
  <si>
    <t>화장실, 샤워실</t>
  </si>
  <si>
    <t>어린이 교실</t>
  </si>
  <si>
    <t>병실</t>
  </si>
  <si>
    <t>그 외 체류공간</t>
  </si>
  <si>
    <t>부속공간</t>
  </si>
  <si>
    <t>복도</t>
  </si>
  <si>
    <t>창고/설비/문서실</t>
  </si>
  <si>
    <t>전산실</t>
  </si>
  <si>
    <t>피트니스 / 운동실</t>
  </si>
  <si>
    <t>병영실, 대기실</t>
  </si>
  <si>
    <t/>
  </si>
  <si>
    <t>노인 주거실</t>
  </si>
  <si>
    <t>객석</t>
  </si>
  <si>
    <t>의료 검사 및 치료실</t>
  </si>
  <si>
    <t>일반 작업실</t>
  </si>
  <si>
    <t>공연장 무대</t>
  </si>
  <si>
    <t>열람실(도서관)</t>
  </si>
  <si>
    <t>전시실 및 박물관</t>
  </si>
  <si>
    <t>체육관</t>
  </si>
  <si>
    <t>설치위치</t>
    <phoneticPr fontId="1" type="noConversion"/>
  </si>
  <si>
    <t>외부측</t>
    <phoneticPr fontId="1" type="noConversion"/>
  </si>
  <si>
    <t>중간</t>
    <phoneticPr fontId="1" type="noConversion"/>
  </si>
  <si>
    <t>내부측</t>
    <phoneticPr fontId="1" type="noConversion"/>
  </si>
  <si>
    <t>none</t>
    <phoneticPr fontId="1" type="noConversion"/>
  </si>
  <si>
    <t>차양종류</t>
    <phoneticPr fontId="1" type="noConversion"/>
  </si>
  <si>
    <t>스크린</t>
    <phoneticPr fontId="1" type="noConversion"/>
  </si>
  <si>
    <t>베네치안</t>
    <phoneticPr fontId="1" type="noConversion"/>
  </si>
  <si>
    <t>롤</t>
    <phoneticPr fontId="1" type="noConversion"/>
  </si>
  <si>
    <t>none</t>
    <phoneticPr fontId="1" type="noConversion"/>
  </si>
  <si>
    <t>투과수준</t>
    <phoneticPr fontId="1" type="noConversion"/>
  </si>
  <si>
    <t>없음</t>
    <phoneticPr fontId="1" type="noConversion"/>
  </si>
  <si>
    <t>보통</t>
    <phoneticPr fontId="1" type="noConversion"/>
  </si>
  <si>
    <t>많음</t>
    <phoneticPr fontId="1" type="noConversion"/>
  </si>
  <si>
    <t>색깔</t>
    <phoneticPr fontId="1" type="noConversion"/>
  </si>
  <si>
    <t>흰색</t>
    <phoneticPr fontId="1" type="noConversion"/>
  </si>
  <si>
    <t>밝은</t>
    <phoneticPr fontId="1" type="noConversion"/>
  </si>
  <si>
    <t>어두운</t>
    <phoneticPr fontId="1" type="noConversion"/>
  </si>
  <si>
    <t>검은색</t>
    <phoneticPr fontId="1" type="noConversion"/>
  </si>
  <si>
    <t>차양제어</t>
    <phoneticPr fontId="1" type="noConversion"/>
  </si>
  <si>
    <t>수동제어</t>
    <phoneticPr fontId="1" type="noConversion"/>
  </si>
  <si>
    <t>자동제어</t>
    <phoneticPr fontId="1" type="noConversion"/>
  </si>
  <si>
    <t>빛조절차양(수동,전동)</t>
    <phoneticPr fontId="1" type="noConversion"/>
  </si>
  <si>
    <t>빛조절차양(자동)</t>
    <phoneticPr fontId="1" type="noConversion"/>
  </si>
  <si>
    <t>제어방법</t>
    <phoneticPr fontId="1" type="noConversion"/>
  </si>
  <si>
    <t>일사중심</t>
    <phoneticPr fontId="1" type="noConversion"/>
  </si>
  <si>
    <t>채광중심</t>
    <phoneticPr fontId="1" type="noConversion"/>
  </si>
  <si>
    <t>채광제어</t>
    <phoneticPr fontId="1" type="noConversion"/>
  </si>
  <si>
    <t>음영각도</t>
    <phoneticPr fontId="1" type="noConversion"/>
  </si>
  <si>
    <t>형태</t>
    <phoneticPr fontId="1" type="noConversion"/>
  </si>
  <si>
    <t>기본형</t>
    <phoneticPr fontId="1" type="noConversion"/>
  </si>
  <si>
    <t>3단형</t>
    <phoneticPr fontId="1" type="noConversion"/>
  </si>
  <si>
    <t>4단형</t>
    <phoneticPr fontId="1" type="noConversion"/>
  </si>
  <si>
    <t>유형</t>
    <phoneticPr fontId="1" type="noConversion"/>
  </si>
  <si>
    <t>기호</t>
    <phoneticPr fontId="1" type="noConversion"/>
  </si>
  <si>
    <t>외벽</t>
    <phoneticPr fontId="1" type="noConversion"/>
  </si>
  <si>
    <t>WL</t>
    <phoneticPr fontId="1" type="noConversion"/>
  </si>
  <si>
    <t>지붕</t>
    <phoneticPr fontId="1" type="noConversion"/>
  </si>
  <si>
    <t>RF</t>
    <phoneticPr fontId="1" type="noConversion"/>
  </si>
  <si>
    <t>바닥</t>
    <phoneticPr fontId="1" type="noConversion"/>
  </si>
  <si>
    <t>FR</t>
    <phoneticPr fontId="1" type="noConversion"/>
  </si>
  <si>
    <t>창호</t>
    <phoneticPr fontId="1" type="noConversion"/>
  </si>
  <si>
    <t>AW</t>
    <phoneticPr fontId="1" type="noConversion"/>
  </si>
  <si>
    <t>커튼월</t>
    <phoneticPr fontId="1" type="noConversion"/>
  </si>
  <si>
    <t>CW</t>
    <phoneticPr fontId="1" type="noConversion"/>
  </si>
  <si>
    <t>문</t>
    <phoneticPr fontId="1" type="noConversion"/>
  </si>
  <si>
    <t>AD</t>
    <phoneticPr fontId="1" type="noConversion"/>
  </si>
  <si>
    <t>방위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</si>
</sst>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주 &quot;0.0&quot; 일 근무&quot;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08서울남산체 L"/>
      <family val="2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1" fontId="0" fillId="0" borderId="0" xfId="0" applyNumberForma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7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4" xfId="0" applyFill="1" applyBorder="1">
      <alignment vertical="center"/>
    </xf>
    <xf numFmtId="0" fontId="6" fillId="3" borderId="8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7" fillId="4" borderId="8" xfId="0" applyFont="1" applyFill="1" applyBorder="1">
      <alignment vertical="center"/>
    </xf>
    <xf numFmtId="0" fontId="7" fillId="4" borderId="9" xfId="0" applyFont="1" applyFill="1" applyBorder="1">
      <alignment vertical="center"/>
    </xf>
    <xf numFmtId="176" fontId="0" fillId="0" borderId="0" xfId="0" applyNumberFormat="1" applyAlignment="1">
      <alignment horizontal="center" vertical="center"/>
    </xf>
    <xf numFmtId="2" fontId="0" fillId="0" borderId="0" xfId="0" applyNumberForma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5.%20&#50672;&#44396;&#44284;&#51228;/54.%20&#44592;&#51316;&#44148;&#47932;&#50640;&#45320;&#51648;&#47532;&#47784;&#45944;&#47553;/04.4&#52264;&#45380;&#46020;/03.&#49892;&#51613;&#44148;&#47932;/02.&#54868;&#44257;119/&#51089;&#50629;/&#51089;&#50629;_ver6/&#50857;&#46020;&#54532;&#47196;&#54596;_UI_&#52572;&#51333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도프로필_건물정보"/>
      <sheetName val="용도DB"/>
      <sheetName val="용도프로필_존정보"/>
      <sheetName val="존생성"/>
      <sheetName val="용도"/>
      <sheetName val="용도프로필index"/>
      <sheetName val="그림index"/>
      <sheetName val="가동일수"/>
      <sheetName val="휴일목록"/>
    </sheetNames>
    <sheetDataSet>
      <sheetData sheetId="0"/>
      <sheetData sheetId="1"/>
      <sheetData sheetId="2">
        <row r="8">
          <cell r="X8" t="str">
            <v>냉방+난방</v>
          </cell>
        </row>
      </sheetData>
      <sheetData sheetId="3"/>
      <sheetData sheetId="4"/>
      <sheetData sheetId="5"/>
      <sheetData sheetId="6">
        <row r="2">
          <cell r="A2" t="str">
            <v>비냉난방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2:D84"/>
  <sheetViews>
    <sheetView workbookViewId="0"/>
  </sheetViews>
  <sheetFormatPr defaultRowHeight="16.5"/>
  <cols>
    <col min="1" max="1" width="9" style="2"/>
    <col min="2" max="2" width="15.125" bestFit="1" customWidth="1"/>
  </cols>
  <sheetData>
    <row r="2" spans="1:2">
      <c r="A2" s="1" t="s">
        <v>0</v>
      </c>
      <c r="B2" s="1"/>
    </row>
    <row r="3" spans="1:2">
      <c r="A3" s="2">
        <v>1</v>
      </c>
      <c r="B3" s="3" t="s">
        <v>1</v>
      </c>
    </row>
    <row r="4" spans="1:2">
      <c r="A4" s="2">
        <v>2</v>
      </c>
      <c r="B4" s="4" t="s">
        <v>2</v>
      </c>
    </row>
    <row r="5" spans="1:2">
      <c r="A5" s="2">
        <v>3</v>
      </c>
      <c r="B5" s="4" t="s">
        <v>3</v>
      </c>
    </row>
    <row r="6" spans="1:2">
      <c r="A6"/>
    </row>
    <row r="7" spans="1:2">
      <c r="A7"/>
    </row>
    <row r="8" spans="1:2">
      <c r="A8"/>
    </row>
    <row r="9" spans="1:2">
      <c r="A9"/>
    </row>
    <row r="10" spans="1:2">
      <c r="A10"/>
    </row>
    <row r="11" spans="1:2">
      <c r="A11"/>
    </row>
    <row r="12" spans="1:2">
      <c r="A12"/>
    </row>
    <row r="13" spans="1:2">
      <c r="A13"/>
    </row>
    <row r="14" spans="1:2">
      <c r="A14"/>
    </row>
    <row r="15" spans="1:2">
      <c r="A15"/>
    </row>
    <row r="16" spans="1:2">
      <c r="A16"/>
    </row>
    <row r="17" spans="1:4">
      <c r="A17"/>
    </row>
    <row r="18" spans="1:4">
      <c r="A18"/>
    </row>
    <row r="19" spans="1:4">
      <c r="A19"/>
    </row>
    <row r="20" spans="1:4">
      <c r="A20"/>
    </row>
    <row r="21" spans="1:4">
      <c r="A21"/>
    </row>
    <row r="22" spans="1:4">
      <c r="A22"/>
    </row>
    <row r="23" spans="1:4">
      <c r="A23"/>
    </row>
    <row r="24" spans="1:4">
      <c r="A24"/>
    </row>
    <row r="25" spans="1:4">
      <c r="A25"/>
    </row>
    <row r="26" spans="1:4">
      <c r="A26"/>
      <c r="D26" s="5"/>
    </row>
    <row r="27" spans="1:4">
      <c r="A27"/>
    </row>
    <row r="28" spans="1:4">
      <c r="A28"/>
    </row>
    <row r="29" spans="1:4">
      <c r="A29"/>
    </row>
    <row r="30" spans="1:4">
      <c r="A30"/>
    </row>
    <row r="31" spans="1:4">
      <c r="A31"/>
    </row>
    <row r="32" spans="1:4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</sheetData>
  <mergeCells count="1">
    <mergeCell ref="A2:B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2:E67"/>
  <sheetViews>
    <sheetView workbookViewId="0"/>
  </sheetViews>
  <sheetFormatPr defaultRowHeight="16.5"/>
  <cols>
    <col min="1" max="1" width="3.5" style="2" bestFit="1" customWidth="1"/>
    <col min="2" max="3" width="23.625" bestFit="1" customWidth="1"/>
    <col min="4" max="4" width="21.375" bestFit="1" customWidth="1"/>
    <col min="5" max="5" width="15.125" bestFit="1" customWidth="1"/>
  </cols>
  <sheetData>
    <row r="2" spans="1:3">
      <c r="A2" s="6" t="s">
        <v>4</v>
      </c>
      <c r="B2" s="7"/>
      <c r="C2" s="7"/>
    </row>
    <row r="3" spans="1:3">
      <c r="A3" s="2">
        <v>0</v>
      </c>
      <c r="B3" s="3" t="s">
        <v>5</v>
      </c>
      <c r="C3" s="3" t="s">
        <v>6</v>
      </c>
    </row>
    <row r="4" spans="1:3">
      <c r="A4" s="2">
        <v>1</v>
      </c>
      <c r="B4" s="3" t="s">
        <v>7</v>
      </c>
      <c r="C4" s="3" t="s">
        <v>8</v>
      </c>
    </row>
    <row r="5" spans="1:3">
      <c r="A5" s="2">
        <v>2</v>
      </c>
      <c r="B5" s="3" t="s">
        <v>9</v>
      </c>
      <c r="C5" s="3" t="s">
        <v>6</v>
      </c>
    </row>
    <row r="6" spans="1:3">
      <c r="A6" s="2">
        <v>3</v>
      </c>
      <c r="B6" s="3" t="s">
        <v>10</v>
      </c>
      <c r="C6" s="3" t="s">
        <v>6</v>
      </c>
    </row>
    <row r="7" spans="1:3">
      <c r="A7" s="2">
        <v>4</v>
      </c>
      <c r="B7" s="3" t="s">
        <v>11</v>
      </c>
      <c r="C7" s="3" t="s">
        <v>6</v>
      </c>
    </row>
    <row r="8" spans="1:3">
      <c r="A8" s="2">
        <v>5</v>
      </c>
      <c r="B8" s="3" t="s">
        <v>12</v>
      </c>
      <c r="C8" s="3" t="s">
        <v>8</v>
      </c>
    </row>
    <row r="9" spans="1:3">
      <c r="A9" s="2">
        <v>6</v>
      </c>
      <c r="B9" s="3" t="s">
        <v>13</v>
      </c>
      <c r="C9" s="3" t="s">
        <v>6</v>
      </c>
    </row>
    <row r="10" spans="1:3">
      <c r="A10" s="2">
        <v>7</v>
      </c>
      <c r="B10" s="3" t="s">
        <v>14</v>
      </c>
      <c r="C10" s="3" t="s">
        <v>6</v>
      </c>
    </row>
    <row r="11" spans="1:3">
      <c r="A11" s="2">
        <v>8</v>
      </c>
      <c r="B11" s="3" t="s">
        <v>15</v>
      </c>
      <c r="C11" s="3" t="s">
        <v>16</v>
      </c>
    </row>
    <row r="12" spans="1:3">
      <c r="A12" s="2">
        <v>9</v>
      </c>
      <c r="B12" s="3" t="s">
        <v>17</v>
      </c>
      <c r="C12" s="3" t="s">
        <v>16</v>
      </c>
    </row>
    <row r="13" spans="1:3">
      <c r="A13" s="2">
        <v>10</v>
      </c>
      <c r="B13" s="3" t="s">
        <v>18</v>
      </c>
      <c r="C13" s="3" t="s">
        <v>16</v>
      </c>
    </row>
    <row r="14" spans="1:3">
      <c r="A14" s="2">
        <v>11</v>
      </c>
      <c r="B14" s="3" t="s">
        <v>19</v>
      </c>
      <c r="C14" s="3" t="s">
        <v>16</v>
      </c>
    </row>
    <row r="15" spans="1:3">
      <c r="A15" s="2">
        <v>12</v>
      </c>
      <c r="B15" s="3" t="s">
        <v>20</v>
      </c>
      <c r="C15" s="3" t="s">
        <v>16</v>
      </c>
    </row>
    <row r="16" spans="1:3">
      <c r="A16" s="2">
        <v>13</v>
      </c>
      <c r="B16" s="3" t="s">
        <v>21</v>
      </c>
      <c r="C16" s="3" t="s">
        <v>6</v>
      </c>
    </row>
    <row r="17" spans="1:3">
      <c r="A17" s="2">
        <v>14</v>
      </c>
      <c r="B17" s="3" t="s">
        <v>22</v>
      </c>
      <c r="C17" s="3" t="s">
        <v>16</v>
      </c>
    </row>
    <row r="18" spans="1:3">
      <c r="A18" s="2">
        <v>15</v>
      </c>
      <c r="B18" s="3" t="s">
        <v>23</v>
      </c>
      <c r="C18" s="3" t="s">
        <v>16</v>
      </c>
    </row>
    <row r="19" spans="1:3">
      <c r="A19" s="2">
        <v>16</v>
      </c>
      <c r="B19" s="3" t="s">
        <v>24</v>
      </c>
      <c r="C19" s="3" t="s">
        <v>25</v>
      </c>
    </row>
    <row r="20" spans="1:3">
      <c r="A20" s="2">
        <v>17</v>
      </c>
      <c r="B20" s="3" t="s">
        <v>26</v>
      </c>
      <c r="C20" s="3" t="s">
        <v>6</v>
      </c>
    </row>
    <row r="21" spans="1:3">
      <c r="A21" s="2">
        <v>18</v>
      </c>
      <c r="B21" s="3" t="s">
        <v>27</v>
      </c>
      <c r="C21" s="3" t="s">
        <v>6</v>
      </c>
    </row>
    <row r="22" spans="1:3">
      <c r="A22" s="2">
        <v>19</v>
      </c>
      <c r="B22" s="3" t="s">
        <v>28</v>
      </c>
      <c r="C22" s="3" t="s">
        <v>6</v>
      </c>
    </row>
    <row r="23" spans="1:3">
      <c r="A23" s="2">
        <v>20</v>
      </c>
      <c r="B23" s="3" t="s">
        <v>29</v>
      </c>
      <c r="C23" s="3" t="s">
        <v>6</v>
      </c>
    </row>
    <row r="26" spans="1:3">
      <c r="A26" s="8" t="s">
        <v>30</v>
      </c>
      <c r="B26" s="9"/>
    </row>
    <row r="27" spans="1:3">
      <c r="A27" s="2">
        <v>1</v>
      </c>
      <c r="B27" s="3" t="s">
        <v>31</v>
      </c>
    </row>
    <row r="28" spans="1:3">
      <c r="A28" s="2">
        <v>2</v>
      </c>
      <c r="B28" s="3" t="s">
        <v>32</v>
      </c>
    </row>
    <row r="29" spans="1:3">
      <c r="A29" s="2">
        <v>3</v>
      </c>
      <c r="B29" s="3" t="s">
        <v>3</v>
      </c>
    </row>
    <row r="30" spans="1:3">
      <c r="B30" s="2"/>
    </row>
    <row r="31" spans="1:3">
      <c r="A31" s="8" t="s">
        <v>33</v>
      </c>
      <c r="B31" s="9"/>
    </row>
    <row r="32" spans="1:3">
      <c r="A32" s="2">
        <v>1</v>
      </c>
      <c r="B32" s="3" t="s">
        <v>34</v>
      </c>
    </row>
    <row r="33" spans="1:2">
      <c r="A33" s="2">
        <v>2</v>
      </c>
      <c r="B33" s="3" t="s">
        <v>35</v>
      </c>
    </row>
    <row r="34" spans="1:2">
      <c r="A34" s="2">
        <v>3</v>
      </c>
      <c r="B34" s="3" t="s">
        <v>36</v>
      </c>
    </row>
    <row r="35" spans="1:2">
      <c r="B35" s="2"/>
    </row>
    <row r="36" spans="1:2">
      <c r="B36" s="2"/>
    </row>
    <row r="37" spans="1:2">
      <c r="A37" s="8" t="s">
        <v>37</v>
      </c>
      <c r="B37" s="9"/>
    </row>
    <row r="38" spans="1:2">
      <c r="A38" s="2">
        <v>1</v>
      </c>
      <c r="B38" s="3" t="s">
        <v>38</v>
      </c>
    </row>
    <row r="39" spans="1:2">
      <c r="A39" s="2">
        <v>2</v>
      </c>
      <c r="B39" s="3" t="s">
        <v>39</v>
      </c>
    </row>
    <row r="40" spans="1:2">
      <c r="B40" s="2"/>
    </row>
    <row r="41" spans="1:2">
      <c r="B41" s="2"/>
    </row>
    <row r="42" spans="1:2">
      <c r="A42" s="8" t="s">
        <v>40</v>
      </c>
      <c r="B42" s="9"/>
    </row>
    <row r="43" spans="1:2">
      <c r="A43" s="2">
        <v>1</v>
      </c>
      <c r="B43" s="3" t="s">
        <v>41</v>
      </c>
    </row>
    <row r="44" spans="1:2">
      <c r="A44" s="2">
        <v>2</v>
      </c>
      <c r="B44" s="3" t="s">
        <v>42</v>
      </c>
    </row>
    <row r="45" spans="1:2">
      <c r="A45" s="2">
        <v>3</v>
      </c>
      <c r="B45" s="3" t="s">
        <v>43</v>
      </c>
    </row>
    <row r="46" spans="1:2">
      <c r="A46" s="2">
        <v>4</v>
      </c>
      <c r="B46" s="3" t="s">
        <v>44</v>
      </c>
    </row>
    <row r="47" spans="1:2">
      <c r="B47" s="2"/>
    </row>
    <row r="48" spans="1:2">
      <c r="B48" s="2"/>
    </row>
    <row r="49" spans="1:5">
      <c r="A49" s="8" t="s">
        <v>45</v>
      </c>
      <c r="B49" s="10"/>
      <c r="C49" s="10"/>
      <c r="D49" s="10"/>
      <c r="E49" s="10"/>
    </row>
    <row r="50" spans="1:5">
      <c r="A50" s="11">
        <v>0</v>
      </c>
      <c r="B50" s="11" t="s">
        <v>41</v>
      </c>
      <c r="C50" s="11" t="s">
        <v>42</v>
      </c>
      <c r="D50" s="11" t="s">
        <v>43</v>
      </c>
      <c r="E50" s="11" t="s">
        <v>46</v>
      </c>
    </row>
    <row r="51" spans="1:5">
      <c r="A51" s="2">
        <v>1</v>
      </c>
      <c r="B51" s="3" t="s">
        <v>47</v>
      </c>
      <c r="C51" s="3" t="s">
        <v>48</v>
      </c>
      <c r="D51" s="3" t="s">
        <v>49</v>
      </c>
      <c r="E51" s="3" t="s">
        <v>50</v>
      </c>
    </row>
    <row r="52" spans="1:5">
      <c r="A52" s="2">
        <v>2</v>
      </c>
      <c r="B52" s="12"/>
      <c r="C52" s="3" t="s">
        <v>51</v>
      </c>
      <c r="D52" s="3" t="s">
        <v>52</v>
      </c>
      <c r="E52" s="3" t="s">
        <v>53</v>
      </c>
    </row>
    <row r="53" spans="1:5">
      <c r="B53" s="13"/>
      <c r="C53" s="3" t="s">
        <v>54</v>
      </c>
      <c r="D53" s="14"/>
      <c r="E53" s="14"/>
    </row>
    <row r="54" spans="1:5">
      <c r="B54" s="2"/>
      <c r="C54" s="2"/>
    </row>
    <row r="55" spans="1:5">
      <c r="A55" s="8" t="s">
        <v>55</v>
      </c>
      <c r="B55" s="9"/>
      <c r="C55" s="2"/>
    </row>
    <row r="56" spans="1:5">
      <c r="A56" s="2">
        <v>1</v>
      </c>
      <c r="B56" s="3" t="s">
        <v>56</v>
      </c>
      <c r="C56" s="2"/>
    </row>
    <row r="57" spans="1:5">
      <c r="A57" s="2">
        <v>2</v>
      </c>
      <c r="B57" s="3" t="s">
        <v>57</v>
      </c>
      <c r="C57" s="2"/>
    </row>
    <row r="58" spans="1:5">
      <c r="A58" s="2">
        <v>3</v>
      </c>
      <c r="B58" s="3" t="s">
        <v>58</v>
      </c>
      <c r="C58" s="2"/>
    </row>
    <row r="59" spans="1:5">
      <c r="B59" s="2"/>
      <c r="C59" s="2"/>
    </row>
    <row r="60" spans="1:5">
      <c r="B60" s="2"/>
      <c r="C60" s="2"/>
    </row>
    <row r="61" spans="1:5">
      <c r="A61" s="8" t="s">
        <v>59</v>
      </c>
      <c r="B61" s="9"/>
      <c r="C61" s="2"/>
    </row>
    <row r="62" spans="1:5">
      <c r="A62" s="2">
        <v>1</v>
      </c>
      <c r="B62" s="3" t="s">
        <v>60</v>
      </c>
      <c r="C62" s="2"/>
    </row>
    <row r="63" spans="1:5">
      <c r="A63" s="2">
        <v>2</v>
      </c>
      <c r="B63" s="3" t="s">
        <v>57</v>
      </c>
      <c r="C63" s="2"/>
    </row>
    <row r="64" spans="1:5">
      <c r="A64" s="2">
        <v>3</v>
      </c>
      <c r="B64" s="3" t="s">
        <v>58</v>
      </c>
      <c r="C64" s="2"/>
    </row>
    <row r="65" spans="2:3">
      <c r="B65" s="2"/>
      <c r="C65" s="2"/>
    </row>
    <row r="66" spans="2:3">
      <c r="B66" s="2"/>
      <c r="C66" s="2"/>
    </row>
    <row r="67" spans="2:3">
      <c r="B67" s="2"/>
    </row>
  </sheetData>
  <mergeCells count="8">
    <mergeCell ref="A55:B55"/>
    <mergeCell ref="A61:B61"/>
    <mergeCell ref="A2:C2"/>
    <mergeCell ref="A26:B26"/>
    <mergeCell ref="A31:B31"/>
    <mergeCell ref="A37:B37"/>
    <mergeCell ref="A42:B42"/>
    <mergeCell ref="A49:E49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C108"/>
  <sheetViews>
    <sheetView workbookViewId="0"/>
  </sheetViews>
  <sheetFormatPr defaultRowHeight="16.5"/>
  <cols>
    <col min="1" max="1" width="9" style="2"/>
    <col min="2" max="2" width="21.375" bestFit="1" customWidth="1"/>
  </cols>
  <sheetData>
    <row r="1" spans="1:2" ht="18" customHeight="1"/>
    <row r="2" spans="1:2">
      <c r="A2" s="1" t="s">
        <v>61</v>
      </c>
      <c r="B2" s="1"/>
    </row>
    <row r="3" spans="1:2">
      <c r="A3" s="2">
        <v>1</v>
      </c>
      <c r="B3" s="3" t="s">
        <v>62</v>
      </c>
    </row>
    <row r="4" spans="1:2">
      <c r="A4" s="2">
        <v>2</v>
      </c>
      <c r="B4" s="3" t="s">
        <v>63</v>
      </c>
    </row>
    <row r="5" spans="1:2">
      <c r="A5" s="2">
        <v>3</v>
      </c>
      <c r="B5" s="3" t="s">
        <v>64</v>
      </c>
    </row>
    <row r="7" spans="1:2">
      <c r="A7" s="1" t="s">
        <v>65</v>
      </c>
      <c r="B7" s="1"/>
    </row>
    <row r="8" spans="1:2">
      <c r="A8" s="2">
        <v>1</v>
      </c>
      <c r="B8" s="15" t="s">
        <v>66</v>
      </c>
    </row>
    <row r="9" spans="1:2">
      <c r="A9" s="2">
        <v>2</v>
      </c>
      <c r="B9" s="15" t="s">
        <v>67</v>
      </c>
    </row>
    <row r="10" spans="1:2">
      <c r="A10" s="2">
        <v>3</v>
      </c>
      <c r="B10" s="15" t="s">
        <v>68</v>
      </c>
    </row>
    <row r="11" spans="1:2">
      <c r="A11" s="2">
        <v>4</v>
      </c>
      <c r="B11" s="16" t="s">
        <v>64</v>
      </c>
    </row>
    <row r="12" spans="1:2">
      <c r="A12" s="2">
        <v>5</v>
      </c>
      <c r="B12" s="16" t="s">
        <v>69</v>
      </c>
    </row>
    <row r="13" spans="1:2">
      <c r="B13" s="16"/>
    </row>
    <row r="14" spans="1:2">
      <c r="A14" s="1" t="s">
        <v>70</v>
      </c>
      <c r="B14" s="1"/>
    </row>
    <row r="15" spans="1:2">
      <c r="A15" s="2">
        <v>3</v>
      </c>
      <c r="B15" s="4" t="s">
        <v>71</v>
      </c>
    </row>
    <row r="16" spans="1:2">
      <c r="A16" s="2">
        <v>4</v>
      </c>
      <c r="B16" s="14" t="s">
        <v>72</v>
      </c>
    </row>
    <row r="18" spans="1:2">
      <c r="A18" s="1" t="s">
        <v>73</v>
      </c>
      <c r="B18" s="1"/>
    </row>
    <row r="19" spans="1:2">
      <c r="A19" s="2">
        <v>1</v>
      </c>
      <c r="B19" s="3" t="s">
        <v>74</v>
      </c>
    </row>
    <row r="20" spans="1:2">
      <c r="A20" s="2">
        <v>2</v>
      </c>
      <c r="B20" s="4" t="s">
        <v>75</v>
      </c>
    </row>
    <row r="21" spans="1:2">
      <c r="A21" s="2">
        <v>3</v>
      </c>
      <c r="B21" s="4" t="s">
        <v>76</v>
      </c>
    </row>
    <row r="23" spans="1:2">
      <c r="A23" s="1" t="s">
        <v>77</v>
      </c>
      <c r="B23" s="1"/>
    </row>
    <row r="24" spans="1:2">
      <c r="A24" s="2">
        <v>1</v>
      </c>
      <c r="B24" s="4" t="s">
        <v>78</v>
      </c>
    </row>
    <row r="25" spans="1:2">
      <c r="A25" s="2">
        <v>2</v>
      </c>
      <c r="B25" s="4" t="s">
        <v>79</v>
      </c>
    </row>
    <row r="26" spans="1:2">
      <c r="A26" s="2">
        <v>3</v>
      </c>
      <c r="B26" s="4" t="s">
        <v>80</v>
      </c>
    </row>
    <row r="28" spans="1:2">
      <c r="A28" s="1" t="s">
        <v>81</v>
      </c>
      <c r="B28" s="1"/>
    </row>
    <row r="29" spans="1:2">
      <c r="A29" s="2">
        <v>1</v>
      </c>
      <c r="B29" s="3" t="s">
        <v>82</v>
      </c>
    </row>
    <row r="30" spans="1:2">
      <c r="A30" s="2">
        <v>2</v>
      </c>
      <c r="B30" s="4" t="s">
        <v>83</v>
      </c>
    </row>
    <row r="31" spans="1:2">
      <c r="A31" s="2">
        <v>3</v>
      </c>
      <c r="B31" s="14" t="s">
        <v>84</v>
      </c>
    </row>
    <row r="33" spans="1:3">
      <c r="A33" s="1" t="s">
        <v>85</v>
      </c>
      <c r="B33" s="1"/>
    </row>
    <row r="34" spans="1:3">
      <c r="A34" s="2">
        <v>1</v>
      </c>
      <c r="B34" s="4" t="s">
        <v>86</v>
      </c>
      <c r="C34" t="s">
        <v>87</v>
      </c>
    </row>
    <row r="35" spans="1:3">
      <c r="A35" s="2">
        <v>2</v>
      </c>
      <c r="B35" s="4" t="s">
        <v>88</v>
      </c>
      <c r="C35" t="s">
        <v>89</v>
      </c>
    </row>
    <row r="36" spans="1:3">
      <c r="A36"/>
    </row>
    <row r="37" spans="1:3">
      <c r="A37" s="1" t="s">
        <v>90</v>
      </c>
      <c r="B37" s="1"/>
    </row>
    <row r="38" spans="1:3">
      <c r="A38" s="2">
        <v>1</v>
      </c>
      <c r="B38" s="4" t="s">
        <v>91</v>
      </c>
    </row>
    <row r="39" spans="1:3">
      <c r="A39" s="2">
        <v>2</v>
      </c>
      <c r="B39" s="4" t="s">
        <v>92</v>
      </c>
    </row>
    <row r="40" spans="1:3">
      <c r="A40" s="2">
        <v>3</v>
      </c>
      <c r="B40" s="4" t="s">
        <v>93</v>
      </c>
    </row>
    <row r="41" spans="1:3">
      <c r="A41" s="2">
        <v>4</v>
      </c>
      <c r="B41" s="4" t="s">
        <v>94</v>
      </c>
    </row>
    <row r="43" spans="1:3">
      <c r="A43" s="1" t="s">
        <v>95</v>
      </c>
      <c r="B43" s="1"/>
    </row>
    <row r="44" spans="1:3">
      <c r="A44" s="2">
        <v>1</v>
      </c>
      <c r="B44" s="3" t="s">
        <v>96</v>
      </c>
    </row>
    <row r="45" spans="1:3">
      <c r="A45" s="2">
        <v>2</v>
      </c>
      <c r="B45" s="3" t="s">
        <v>97</v>
      </c>
    </row>
    <row r="46" spans="1:3">
      <c r="A46" s="2">
        <v>3</v>
      </c>
      <c r="B46" s="3" t="s">
        <v>98</v>
      </c>
    </row>
    <row r="47" spans="1:3">
      <c r="A47" s="2">
        <v>4</v>
      </c>
      <c r="B47" s="14" t="s">
        <v>99</v>
      </c>
    </row>
    <row r="48" spans="1:3">
      <c r="A48" s="1" t="s">
        <v>100</v>
      </c>
      <c r="B48" s="1"/>
    </row>
    <row r="49" spans="1:2">
      <c r="A49" s="2">
        <v>1</v>
      </c>
      <c r="B49" s="4" t="s">
        <v>101</v>
      </c>
    </row>
    <row r="50" spans="1:2">
      <c r="A50" s="2">
        <v>2</v>
      </c>
      <c r="B50" s="4" t="s">
        <v>102</v>
      </c>
    </row>
    <row r="51" spans="1:2">
      <c r="A51" s="2">
        <v>3</v>
      </c>
      <c r="B51" s="14" t="s">
        <v>103</v>
      </c>
    </row>
    <row r="52" spans="1:2">
      <c r="A52" s="2">
        <v>4</v>
      </c>
      <c r="B52" s="14" t="s">
        <v>99</v>
      </c>
    </row>
    <row r="53" spans="1:2">
      <c r="A53" s="1" t="s">
        <v>104</v>
      </c>
      <c r="B53" s="1"/>
    </row>
    <row r="54" spans="1:2">
      <c r="A54" s="2">
        <v>1</v>
      </c>
      <c r="B54" s="4" t="s">
        <v>105</v>
      </c>
    </row>
    <row r="55" spans="1:2">
      <c r="A55" s="2">
        <v>2</v>
      </c>
      <c r="B55" s="4" t="s">
        <v>106</v>
      </c>
    </row>
    <row r="56" spans="1:2">
      <c r="A56" s="2">
        <v>3</v>
      </c>
      <c r="B56" s="14" t="s">
        <v>107</v>
      </c>
    </row>
    <row r="57" spans="1:2">
      <c r="A57" s="2">
        <v>4</v>
      </c>
      <c r="B57" s="14" t="s">
        <v>99</v>
      </c>
    </row>
    <row r="58" spans="1:2">
      <c r="A58" s="1" t="s">
        <v>108</v>
      </c>
      <c r="B58" s="1"/>
    </row>
    <row r="59" spans="1:2">
      <c r="A59" s="2">
        <v>1</v>
      </c>
      <c r="B59" s="4" t="s">
        <v>109</v>
      </c>
    </row>
    <row r="60" spans="1:2">
      <c r="A60" s="2">
        <v>2</v>
      </c>
      <c r="B60" s="4" t="s">
        <v>110</v>
      </c>
    </row>
    <row r="61" spans="1:2">
      <c r="A61" s="2">
        <v>3</v>
      </c>
      <c r="B61" s="14" t="s">
        <v>111</v>
      </c>
    </row>
    <row r="62" spans="1:2">
      <c r="A62" s="2">
        <v>4</v>
      </c>
      <c r="B62" s="14" t="s">
        <v>112</v>
      </c>
    </row>
    <row r="63" spans="1:2">
      <c r="A63" s="2">
        <v>5</v>
      </c>
      <c r="B63" s="14" t="s">
        <v>113</v>
      </c>
    </row>
    <row r="65" spans="1:3">
      <c r="A65" s="1" t="s">
        <v>114</v>
      </c>
      <c r="B65" s="1"/>
    </row>
    <row r="66" spans="1:3">
      <c r="A66" s="2">
        <v>1</v>
      </c>
      <c r="B66" s="4" t="s">
        <v>115</v>
      </c>
      <c r="C66" t="s">
        <v>116</v>
      </c>
    </row>
    <row r="67" spans="1:3">
      <c r="A67" s="2">
        <v>2</v>
      </c>
      <c r="B67" s="4" t="s">
        <v>117</v>
      </c>
      <c r="C67" t="s">
        <v>118</v>
      </c>
    </row>
    <row r="68" spans="1:3">
      <c r="A68" s="2">
        <v>3</v>
      </c>
      <c r="B68" s="17" t="s">
        <v>119</v>
      </c>
      <c r="C68" t="s">
        <v>120</v>
      </c>
    </row>
    <row r="69" spans="1:3">
      <c r="A69" s="2">
        <v>4</v>
      </c>
      <c r="B69" s="17" t="s">
        <v>121</v>
      </c>
      <c r="C69" t="s">
        <v>118</v>
      </c>
    </row>
    <row r="70" spans="1:3">
      <c r="A70" s="2">
        <v>5</v>
      </c>
      <c r="B70" s="14" t="s">
        <v>122</v>
      </c>
    </row>
    <row r="72" spans="1:3">
      <c r="A72" s="1" t="s">
        <v>123</v>
      </c>
      <c r="B72" s="1"/>
    </row>
    <row r="73" spans="1:3">
      <c r="A73" s="2">
        <v>1</v>
      </c>
      <c r="B73" s="4" t="s">
        <v>124</v>
      </c>
    </row>
    <row r="74" spans="1:3">
      <c r="A74" s="2">
        <v>2</v>
      </c>
      <c r="B74" s="4" t="s">
        <v>125</v>
      </c>
      <c r="C74" t="s">
        <v>126</v>
      </c>
    </row>
    <row r="77" spans="1:3">
      <c r="A77" s="1" t="s">
        <v>127</v>
      </c>
      <c r="B77" s="1"/>
    </row>
    <row r="78" spans="1:3">
      <c r="A78" s="2">
        <v>1</v>
      </c>
      <c r="B78" s="4">
        <v>0</v>
      </c>
    </row>
    <row r="79" spans="1:3">
      <c r="A79" s="2">
        <v>2</v>
      </c>
      <c r="B79" s="4">
        <v>30</v>
      </c>
    </row>
    <row r="80" spans="1:3">
      <c r="A80" s="2">
        <v>3</v>
      </c>
      <c r="B80" s="4">
        <v>45</v>
      </c>
    </row>
    <row r="81" spans="1:2">
      <c r="A81" s="2">
        <v>4</v>
      </c>
      <c r="B81" s="4">
        <v>60</v>
      </c>
    </row>
    <row r="82" spans="1:2">
      <c r="A82" s="2">
        <v>5</v>
      </c>
      <c r="B82" s="4">
        <v>80</v>
      </c>
    </row>
    <row r="84" spans="1:2">
      <c r="A84" s="1" t="s">
        <v>128</v>
      </c>
      <c r="B84" s="1"/>
    </row>
    <row r="85" spans="1:2">
      <c r="A85" s="2">
        <v>1</v>
      </c>
      <c r="B85" s="4" t="s">
        <v>129</v>
      </c>
    </row>
    <row r="86" spans="1:2">
      <c r="A86" s="2">
        <v>2</v>
      </c>
      <c r="B86" s="4" t="s">
        <v>130</v>
      </c>
    </row>
    <row r="87" spans="1:2">
      <c r="A87" s="2">
        <v>3</v>
      </c>
      <c r="B87" s="14" t="s">
        <v>131</v>
      </c>
    </row>
    <row r="91" spans="1:2">
      <c r="A91" s="18" t="s">
        <v>132</v>
      </c>
      <c r="B91" s="18" t="s">
        <v>133</v>
      </c>
    </row>
    <row r="92" spans="1:2">
      <c r="A92" s="2" t="s">
        <v>134</v>
      </c>
      <c r="B92" s="2" t="s">
        <v>135</v>
      </c>
    </row>
    <row r="93" spans="1:2">
      <c r="A93" s="2" t="s">
        <v>136</v>
      </c>
      <c r="B93" s="2" t="s">
        <v>137</v>
      </c>
    </row>
    <row r="94" spans="1:2">
      <c r="A94" s="2" t="s">
        <v>138</v>
      </c>
      <c r="B94" s="2" t="s">
        <v>139</v>
      </c>
    </row>
    <row r="95" spans="1:2">
      <c r="A95" s="2" t="s">
        <v>140</v>
      </c>
      <c r="B95" s="2" t="s">
        <v>141</v>
      </c>
    </row>
    <row r="96" spans="1:2">
      <c r="A96" s="2" t="s">
        <v>142</v>
      </c>
      <c r="B96" s="2" t="s">
        <v>143</v>
      </c>
    </row>
    <row r="97" spans="1:2">
      <c r="A97" s="2" t="s">
        <v>144</v>
      </c>
      <c r="B97" s="2" t="s">
        <v>145</v>
      </c>
    </row>
    <row r="100" spans="1:2">
      <c r="A100" s="1" t="s">
        <v>146</v>
      </c>
      <c r="B100" s="1"/>
    </row>
    <row r="101" spans="1:2">
      <c r="A101" s="2">
        <v>1</v>
      </c>
      <c r="B101" s="4" t="s">
        <v>147</v>
      </c>
    </row>
    <row r="102" spans="1:2">
      <c r="A102" s="2">
        <v>2</v>
      </c>
      <c r="B102" s="4" t="s">
        <v>148</v>
      </c>
    </row>
    <row r="103" spans="1:2">
      <c r="A103" s="2">
        <v>3</v>
      </c>
      <c r="B103" s="4" t="s">
        <v>149</v>
      </c>
    </row>
    <row r="104" spans="1:2">
      <c r="A104" s="2">
        <v>4</v>
      </c>
      <c r="B104" s="4" t="s">
        <v>150</v>
      </c>
    </row>
    <row r="105" spans="1:2">
      <c r="A105" s="2">
        <v>5</v>
      </c>
      <c r="B105" s="4" t="s">
        <v>151</v>
      </c>
    </row>
    <row r="106" spans="1:2">
      <c r="A106" s="2">
        <v>6</v>
      </c>
      <c r="B106" s="4" t="s">
        <v>152</v>
      </c>
    </row>
    <row r="107" spans="1:2">
      <c r="A107" s="2">
        <v>7</v>
      </c>
      <c r="B107" s="4" t="s">
        <v>153</v>
      </c>
    </row>
    <row r="108" spans="1:2">
      <c r="A108" s="2">
        <v>8</v>
      </c>
      <c r="B108" s="4" t="s">
        <v>154</v>
      </c>
    </row>
  </sheetData>
  <mergeCells count="17">
    <mergeCell ref="A65:B65"/>
    <mergeCell ref="A72:B72"/>
    <mergeCell ref="A77:B77"/>
    <mergeCell ref="A84:B84"/>
    <mergeCell ref="A100:B100"/>
    <mergeCell ref="A33:B33"/>
    <mergeCell ref="A37:B37"/>
    <mergeCell ref="A43:B43"/>
    <mergeCell ref="A48:B48"/>
    <mergeCell ref="A53:B53"/>
    <mergeCell ref="A58:B58"/>
    <mergeCell ref="A2:B2"/>
    <mergeCell ref="A7:B7"/>
    <mergeCell ref="A14:B14"/>
    <mergeCell ref="A18:B18"/>
    <mergeCell ref="A23:B23"/>
    <mergeCell ref="A28:B2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2:C87"/>
  <sheetViews>
    <sheetView workbookViewId="0"/>
  </sheetViews>
  <sheetFormatPr defaultRowHeight="16.5"/>
  <cols>
    <col min="1" max="1" width="9" style="2"/>
    <col min="2" max="2" width="15.125" bestFit="1" customWidth="1"/>
  </cols>
  <sheetData>
    <row r="2" spans="1:2">
      <c r="A2" s="1" t="s">
        <v>155</v>
      </c>
      <c r="B2" s="1"/>
    </row>
    <row r="3" spans="1:2">
      <c r="A3" s="2">
        <v>1</v>
      </c>
      <c r="B3" s="3" t="s">
        <v>156</v>
      </c>
    </row>
    <row r="4" spans="1:2">
      <c r="A4" s="2">
        <v>2</v>
      </c>
      <c r="B4" s="4" t="s">
        <v>157</v>
      </c>
    </row>
    <row r="6" spans="1:2">
      <c r="A6" s="1" t="s">
        <v>158</v>
      </c>
      <c r="B6" s="1"/>
    </row>
    <row r="7" spans="1:2">
      <c r="A7" s="2">
        <v>1</v>
      </c>
      <c r="B7" s="19" t="s">
        <v>159</v>
      </c>
    </row>
    <row r="8" spans="1:2">
      <c r="A8" s="2">
        <v>2</v>
      </c>
      <c r="B8" s="15" t="s">
        <v>160</v>
      </c>
    </row>
    <row r="9" spans="1:2">
      <c r="A9" s="2">
        <v>3</v>
      </c>
      <c r="B9" s="15" t="s">
        <v>161</v>
      </c>
    </row>
    <row r="10" spans="1:2">
      <c r="A10" s="2">
        <v>4</v>
      </c>
      <c r="B10" s="15" t="s">
        <v>162</v>
      </c>
    </row>
    <row r="11" spans="1:2">
      <c r="A11" s="2">
        <v>5</v>
      </c>
      <c r="B11" s="15" t="s">
        <v>163</v>
      </c>
    </row>
    <row r="13" spans="1:2">
      <c r="A13" s="1" t="s">
        <v>164</v>
      </c>
      <c r="B13" s="1"/>
    </row>
    <row r="14" spans="1:2">
      <c r="A14" s="2">
        <v>1</v>
      </c>
      <c r="B14" s="15" t="s">
        <v>165</v>
      </c>
    </row>
    <row r="15" spans="1:2">
      <c r="A15" s="2">
        <v>2</v>
      </c>
      <c r="B15" s="15" t="s">
        <v>166</v>
      </c>
    </row>
    <row r="16" spans="1:2">
      <c r="A16" s="2">
        <v>3</v>
      </c>
      <c r="B16" s="15" t="s">
        <v>167</v>
      </c>
    </row>
    <row r="17" spans="1:2">
      <c r="A17" s="2">
        <v>4</v>
      </c>
      <c r="B17" s="15" t="s">
        <v>168</v>
      </c>
    </row>
    <row r="18" spans="1:2">
      <c r="A18" s="2">
        <v>5</v>
      </c>
      <c r="B18" s="15" t="s">
        <v>169</v>
      </c>
    </row>
    <row r="20" spans="1:2">
      <c r="A20" s="1" t="s">
        <v>170</v>
      </c>
      <c r="B20" s="1"/>
    </row>
    <row r="21" spans="1:2">
      <c r="A21" s="2">
        <v>1</v>
      </c>
      <c r="B21" s="3" t="s">
        <v>171</v>
      </c>
    </row>
    <row r="22" spans="1:2">
      <c r="A22" s="2">
        <v>2</v>
      </c>
      <c r="B22" s="4" t="s">
        <v>172</v>
      </c>
    </row>
    <row r="23" spans="1:2">
      <c r="A23" s="2">
        <v>3</v>
      </c>
      <c r="B23" s="4" t="s">
        <v>173</v>
      </c>
    </row>
    <row r="24" spans="1:2">
      <c r="A24" s="2">
        <v>4</v>
      </c>
      <c r="B24" s="4" t="s">
        <v>174</v>
      </c>
    </row>
    <row r="26" spans="1:2">
      <c r="A26" s="1" t="s">
        <v>175</v>
      </c>
      <c r="B26" s="1"/>
    </row>
    <row r="27" spans="1:2">
      <c r="A27" s="2">
        <v>1</v>
      </c>
      <c r="B27" s="3" t="s">
        <v>176</v>
      </c>
    </row>
    <row r="28" spans="1:2">
      <c r="A28" s="2">
        <v>2</v>
      </c>
      <c r="B28" s="4" t="s">
        <v>177</v>
      </c>
    </row>
    <row r="29" spans="1:2">
      <c r="A29" s="2">
        <v>3</v>
      </c>
      <c r="B29" s="4" t="s">
        <v>178</v>
      </c>
    </row>
    <row r="31" spans="1:2">
      <c r="A31" s="1" t="s">
        <v>179</v>
      </c>
      <c r="B31" s="1"/>
    </row>
    <row r="32" spans="1:2">
      <c r="A32" s="2">
        <v>1</v>
      </c>
      <c r="B32" s="4" t="s">
        <v>174</v>
      </c>
    </row>
    <row r="33" spans="1:3">
      <c r="A33" s="2">
        <v>2</v>
      </c>
      <c r="B33" s="4" t="s">
        <v>180</v>
      </c>
    </row>
    <row r="34" spans="1:3">
      <c r="A34" s="2">
        <v>3</v>
      </c>
      <c r="B34" s="4" t="s">
        <v>181</v>
      </c>
    </row>
    <row r="35" spans="1:3">
      <c r="A35" s="2">
        <v>4</v>
      </c>
      <c r="B35" s="4" t="s">
        <v>182</v>
      </c>
    </row>
    <row r="36" spans="1:3">
      <c r="A36" s="2">
        <v>5</v>
      </c>
      <c r="B36" s="4" t="s">
        <v>183</v>
      </c>
    </row>
    <row r="37" spans="1:3">
      <c r="A37" s="2">
        <v>6</v>
      </c>
      <c r="B37" s="4" t="s">
        <v>184</v>
      </c>
    </row>
    <row r="39" spans="1:3">
      <c r="A39" s="1" t="str">
        <f>$B$21</f>
        <v>경량철골조</v>
      </c>
      <c r="B39" s="1"/>
      <c r="C39">
        <f>COUNTA(외벽_경량철골조)</f>
        <v>1</v>
      </c>
    </row>
    <row r="40" spans="1:3">
      <c r="A40" s="2">
        <v>1</v>
      </c>
      <c r="B40" s="4" t="s">
        <v>185</v>
      </c>
    </row>
    <row r="41" spans="1:3">
      <c r="A41" s="2">
        <v>2</v>
      </c>
      <c r="B41" s="4" t="s">
        <v>186</v>
      </c>
    </row>
    <row r="43" spans="1:3">
      <c r="A43" s="1" t="str">
        <f>$B$22</f>
        <v>목구조</v>
      </c>
      <c r="B43" s="1"/>
      <c r="C43">
        <f>COUNTA(외벽_목구조)</f>
        <v>1</v>
      </c>
    </row>
    <row r="44" spans="1:3">
      <c r="A44" s="2">
        <v>1</v>
      </c>
      <c r="B44" s="4" t="s">
        <v>187</v>
      </c>
    </row>
    <row r="46" spans="1:3">
      <c r="A46" s="1" t="str">
        <f>$B$23</f>
        <v>콘크리트조</v>
      </c>
      <c r="B46" s="1"/>
      <c r="C46">
        <f>COUNTA(B47:B50)</f>
        <v>4</v>
      </c>
    </row>
    <row r="47" spans="1:3">
      <c r="A47" s="2">
        <v>1</v>
      </c>
      <c r="B47" s="3" t="s">
        <v>156</v>
      </c>
    </row>
    <row r="48" spans="1:3">
      <c r="A48" s="2">
        <v>2</v>
      </c>
      <c r="B48" s="4" t="s">
        <v>157</v>
      </c>
    </row>
    <row r="49" spans="1:3">
      <c r="A49" s="2">
        <v>3</v>
      </c>
      <c r="B49" s="4" t="s">
        <v>162</v>
      </c>
    </row>
    <row r="50" spans="1:3">
      <c r="A50" s="2">
        <v>4</v>
      </c>
      <c r="B50" s="14" t="s">
        <v>188</v>
      </c>
    </row>
    <row r="52" spans="1:3">
      <c r="A52" s="1" t="str">
        <f>$B$24</f>
        <v>기존외벽</v>
      </c>
      <c r="B52" s="1"/>
      <c r="C52">
        <f>COUNTA(외벽_콘크리트조)</f>
        <v>1</v>
      </c>
    </row>
    <row r="53" spans="1:3">
      <c r="A53" s="2">
        <v>1</v>
      </c>
      <c r="B53" s="3" t="s">
        <v>156</v>
      </c>
    </row>
    <row r="54" spans="1:3">
      <c r="A54" s="2">
        <v>2</v>
      </c>
      <c r="B54" s="4" t="s">
        <v>157</v>
      </c>
    </row>
    <row r="55" spans="1:3">
      <c r="A55" s="2">
        <v>3</v>
      </c>
      <c r="B55" s="4" t="s">
        <v>162</v>
      </c>
    </row>
    <row r="56" spans="1:3">
      <c r="A56" s="2">
        <v>4</v>
      </c>
      <c r="B56" s="14" t="s">
        <v>188</v>
      </c>
    </row>
    <row r="58" spans="1:3">
      <c r="A58" s="1" t="s">
        <v>183</v>
      </c>
      <c r="B58" s="1"/>
    </row>
    <row r="59" spans="1:3">
      <c r="A59" s="2">
        <v>1</v>
      </c>
      <c r="B59" s="4" t="s">
        <v>185</v>
      </c>
    </row>
    <row r="60" spans="1:3">
      <c r="A60" s="2">
        <v>2</v>
      </c>
      <c r="B60" s="4" t="s">
        <v>187</v>
      </c>
    </row>
    <row r="62" spans="1:3">
      <c r="A62" s="1" t="s">
        <v>189</v>
      </c>
      <c r="B62" s="1"/>
    </row>
    <row r="63" spans="1:3">
      <c r="A63" s="2">
        <v>1</v>
      </c>
      <c r="B63" s="4" t="s">
        <v>190</v>
      </c>
    </row>
    <row r="64" spans="1:3">
      <c r="A64" s="2">
        <v>2</v>
      </c>
      <c r="B64" s="4" t="s">
        <v>191</v>
      </c>
    </row>
    <row r="66" spans="1:3">
      <c r="A66" s="1" t="s">
        <v>192</v>
      </c>
      <c r="B66" s="1"/>
    </row>
    <row r="67" spans="1:3">
      <c r="A67" s="2">
        <v>1</v>
      </c>
      <c r="B67" s="4" t="s">
        <v>193</v>
      </c>
      <c r="C67" t="s">
        <v>194</v>
      </c>
    </row>
    <row r="68" spans="1:3">
      <c r="A68" s="2">
        <v>2</v>
      </c>
      <c r="B68" s="4" t="s">
        <v>195</v>
      </c>
      <c r="C68" t="s">
        <v>196</v>
      </c>
    </row>
    <row r="69" spans="1:3">
      <c r="A69" s="2">
        <v>3</v>
      </c>
      <c r="B69" s="14" t="s">
        <v>197</v>
      </c>
      <c r="C69" t="s">
        <v>198</v>
      </c>
    </row>
    <row r="70" spans="1:3">
      <c r="A70"/>
    </row>
    <row r="71" spans="1:3">
      <c r="A71" s="1" t="s">
        <v>199</v>
      </c>
      <c r="B71" s="1"/>
    </row>
    <row r="72" spans="1:3">
      <c r="A72" s="2">
        <v>0</v>
      </c>
      <c r="B72" s="2" t="s">
        <v>200</v>
      </c>
    </row>
    <row r="73" spans="1:3">
      <c r="A73" s="2">
        <v>1</v>
      </c>
      <c r="B73" s="2" t="s">
        <v>201</v>
      </c>
    </row>
    <row r="74" spans="1:3">
      <c r="A74" s="2">
        <v>2</v>
      </c>
      <c r="B74" s="2" t="s">
        <v>202</v>
      </c>
    </row>
    <row r="75" spans="1:3">
      <c r="A75" s="2">
        <v>3</v>
      </c>
      <c r="B75" s="2" t="s">
        <v>203</v>
      </c>
    </row>
    <row r="76" spans="1:3">
      <c r="A76" s="2">
        <v>4</v>
      </c>
      <c r="B76" s="2" t="s">
        <v>204</v>
      </c>
    </row>
    <row r="77" spans="1:3">
      <c r="A77" s="2">
        <v>5</v>
      </c>
      <c r="B77" s="2" t="s">
        <v>205</v>
      </c>
    </row>
    <row r="78" spans="1:3">
      <c r="A78" s="2">
        <v>6</v>
      </c>
      <c r="B78" s="2" t="s">
        <v>206</v>
      </c>
    </row>
    <row r="79" spans="1:3">
      <c r="A79" s="2">
        <v>7</v>
      </c>
      <c r="B79" s="2" t="s">
        <v>207</v>
      </c>
    </row>
    <row r="81" spans="1:2">
      <c r="A81" s="18" t="s">
        <v>208</v>
      </c>
      <c r="B81" s="18" t="s">
        <v>209</v>
      </c>
    </row>
    <row r="82" spans="1:2">
      <c r="A82" s="2" t="s">
        <v>210</v>
      </c>
      <c r="B82" s="2" t="s">
        <v>211</v>
      </c>
    </row>
    <row r="83" spans="1:2">
      <c r="A83" s="2" t="s">
        <v>212</v>
      </c>
      <c r="B83" s="2" t="s">
        <v>213</v>
      </c>
    </row>
    <row r="84" spans="1:2">
      <c r="A84" s="2" t="s">
        <v>214</v>
      </c>
      <c r="B84" s="2" t="s">
        <v>215</v>
      </c>
    </row>
    <row r="85" spans="1:2">
      <c r="A85" s="2" t="s">
        <v>216</v>
      </c>
      <c r="B85" s="2" t="s">
        <v>217</v>
      </c>
    </row>
    <row r="86" spans="1:2">
      <c r="A86" s="2" t="s">
        <v>207</v>
      </c>
      <c r="B86" s="2" t="s">
        <v>218</v>
      </c>
    </row>
    <row r="87" spans="1:2">
      <c r="A87" s="2" t="s">
        <v>219</v>
      </c>
      <c r="B87" s="2" t="s">
        <v>220</v>
      </c>
    </row>
  </sheetData>
  <mergeCells count="14">
    <mergeCell ref="A66:B66"/>
    <mergeCell ref="A71:B71"/>
    <mergeCell ref="A39:B39"/>
    <mergeCell ref="A43:B43"/>
    <mergeCell ref="A46:B46"/>
    <mergeCell ref="A52:B52"/>
    <mergeCell ref="A58:B58"/>
    <mergeCell ref="A62:B62"/>
    <mergeCell ref="A2:B2"/>
    <mergeCell ref="A6:B6"/>
    <mergeCell ref="A13:B13"/>
    <mergeCell ref="A20:B20"/>
    <mergeCell ref="A26:B26"/>
    <mergeCell ref="A31:B3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2:C95"/>
  <sheetViews>
    <sheetView topLeftCell="A40" workbookViewId="0"/>
  </sheetViews>
  <sheetFormatPr defaultRowHeight="16.5"/>
  <cols>
    <col min="1" max="1" width="9" style="2"/>
    <col min="2" max="2" width="15.125" bestFit="1" customWidth="1"/>
  </cols>
  <sheetData>
    <row r="2" spans="1:2">
      <c r="A2" s="1" t="s">
        <v>155</v>
      </c>
      <c r="B2" s="1"/>
    </row>
    <row r="3" spans="1:2">
      <c r="A3" s="2">
        <v>1</v>
      </c>
      <c r="B3" s="3" t="s">
        <v>157</v>
      </c>
    </row>
    <row r="5" spans="1:2">
      <c r="A5" s="1" t="s">
        <v>158</v>
      </c>
      <c r="B5" s="1"/>
    </row>
    <row r="6" spans="1:2">
      <c r="A6" s="2">
        <v>1</v>
      </c>
      <c r="B6" s="3" t="s">
        <v>221</v>
      </c>
    </row>
    <row r="7" spans="1:2">
      <c r="A7" s="2">
        <v>2</v>
      </c>
      <c r="B7" s="3" t="s">
        <v>222</v>
      </c>
    </row>
    <row r="8" spans="1:2">
      <c r="A8" s="2">
        <v>3</v>
      </c>
      <c r="B8" s="3" t="s">
        <v>223</v>
      </c>
    </row>
    <row r="9" spans="1:2">
      <c r="A9" s="2">
        <v>4</v>
      </c>
      <c r="B9" s="3" t="s">
        <v>224</v>
      </c>
    </row>
    <row r="10" spans="1:2">
      <c r="A10" s="2">
        <v>5</v>
      </c>
      <c r="B10" s="3" t="s">
        <v>162</v>
      </c>
    </row>
    <row r="11" spans="1:2">
      <c r="A11" s="2">
        <v>6</v>
      </c>
      <c r="B11" s="3" t="s">
        <v>225</v>
      </c>
    </row>
    <row r="12" spans="1:2">
      <c r="A12" s="2">
        <v>7</v>
      </c>
      <c r="B12" s="3" t="s">
        <v>183</v>
      </c>
    </row>
    <row r="13" spans="1:2">
      <c r="A13" s="2">
        <v>8</v>
      </c>
      <c r="B13" s="14" t="s">
        <v>226</v>
      </c>
    </row>
    <row r="14" spans="1:2">
      <c r="A14" s="2">
        <v>9</v>
      </c>
      <c r="B14" s="14" t="s">
        <v>186</v>
      </c>
    </row>
    <row r="16" spans="1:2">
      <c r="A16" s="1" t="s">
        <v>164</v>
      </c>
      <c r="B16" s="1"/>
    </row>
    <row r="17" spans="1:2">
      <c r="A17" s="2">
        <v>1</v>
      </c>
      <c r="B17" s="15" t="s">
        <v>165</v>
      </c>
    </row>
    <row r="18" spans="1:2">
      <c r="A18" s="2">
        <v>2</v>
      </c>
      <c r="B18" s="15" t="s">
        <v>166</v>
      </c>
    </row>
    <row r="19" spans="1:2">
      <c r="A19" s="2">
        <v>3</v>
      </c>
      <c r="B19" s="15" t="s">
        <v>167</v>
      </c>
    </row>
    <row r="20" spans="1:2">
      <c r="A20" s="2">
        <v>4</v>
      </c>
      <c r="B20" s="15" t="s">
        <v>168</v>
      </c>
    </row>
    <row r="21" spans="1:2">
      <c r="A21" s="2">
        <v>5</v>
      </c>
      <c r="B21" s="15" t="s">
        <v>169</v>
      </c>
    </row>
    <row r="23" spans="1:2">
      <c r="A23" s="1" t="s">
        <v>170</v>
      </c>
      <c r="B23" s="1"/>
    </row>
    <row r="24" spans="1:2">
      <c r="A24" s="2">
        <v>1</v>
      </c>
      <c r="B24" s="3" t="s">
        <v>171</v>
      </c>
    </row>
    <row r="25" spans="1:2">
      <c r="A25" s="2">
        <v>2</v>
      </c>
      <c r="B25" s="4" t="s">
        <v>172</v>
      </c>
    </row>
    <row r="26" spans="1:2">
      <c r="A26" s="2">
        <v>3</v>
      </c>
      <c r="B26" s="4" t="s">
        <v>173</v>
      </c>
    </row>
    <row r="27" spans="1:2">
      <c r="A27" s="2">
        <v>4</v>
      </c>
      <c r="B27" s="14" t="s">
        <v>227</v>
      </c>
    </row>
    <row r="29" spans="1:2">
      <c r="A29" s="1" t="s">
        <v>175</v>
      </c>
      <c r="B29" s="1"/>
    </row>
    <row r="30" spans="1:2">
      <c r="A30" s="2">
        <v>1</v>
      </c>
      <c r="B30" s="3" t="s">
        <v>176</v>
      </c>
    </row>
    <row r="31" spans="1:2">
      <c r="A31" s="2">
        <v>2</v>
      </c>
      <c r="B31" s="4" t="s">
        <v>177</v>
      </c>
    </row>
    <row r="32" spans="1:2">
      <c r="A32" s="2">
        <v>3</v>
      </c>
      <c r="B32" s="4" t="s">
        <v>178</v>
      </c>
    </row>
    <row r="34" spans="1:3">
      <c r="A34" s="1" t="s">
        <v>228</v>
      </c>
      <c r="B34" s="1"/>
    </row>
    <row r="35" spans="1:3">
      <c r="A35" s="2">
        <v>1</v>
      </c>
      <c r="B35" s="4" t="s">
        <v>227</v>
      </c>
    </row>
    <row r="36" spans="1:3">
      <c r="A36" s="2">
        <v>2</v>
      </c>
      <c r="B36" s="4" t="s">
        <v>180</v>
      </c>
    </row>
    <row r="37" spans="1:3">
      <c r="A37" s="2">
        <v>3</v>
      </c>
      <c r="B37" s="4" t="s">
        <v>181</v>
      </c>
    </row>
    <row r="38" spans="1:3">
      <c r="A38" s="2">
        <v>4</v>
      </c>
      <c r="B38" s="4" t="s">
        <v>182</v>
      </c>
    </row>
    <row r="39" spans="1:3">
      <c r="A39" s="2">
        <v>5</v>
      </c>
      <c r="B39" s="4" t="s">
        <v>183</v>
      </c>
    </row>
    <row r="41" spans="1:3">
      <c r="A41" s="1" t="str">
        <f>B26</f>
        <v>콘크리트조</v>
      </c>
      <c r="B41" s="1"/>
      <c r="C41">
        <f>COUNTA(B42:B45)</f>
        <v>4</v>
      </c>
    </row>
    <row r="42" spans="1:3">
      <c r="A42" s="2">
        <v>1</v>
      </c>
      <c r="B42" s="3" t="s">
        <v>225</v>
      </c>
    </row>
    <row r="43" spans="1:3">
      <c r="A43" s="2">
        <v>2</v>
      </c>
      <c r="B43" s="4" t="s">
        <v>183</v>
      </c>
    </row>
    <row r="44" spans="1:3">
      <c r="A44" s="2">
        <v>3</v>
      </c>
      <c r="B44" s="4" t="s">
        <v>162</v>
      </c>
    </row>
    <row r="45" spans="1:3">
      <c r="A45" s="2">
        <v>4</v>
      </c>
      <c r="B45" s="4" t="s">
        <v>157</v>
      </c>
    </row>
    <row r="47" spans="1:3">
      <c r="A47" s="1" t="str">
        <f>B27</f>
        <v>기존지붕</v>
      </c>
      <c r="B47" s="1"/>
      <c r="C47">
        <f>COUNTA(B48:B51)</f>
        <v>4</v>
      </c>
    </row>
    <row r="48" spans="1:3">
      <c r="A48" s="2">
        <v>1</v>
      </c>
      <c r="B48" s="3" t="s">
        <v>229</v>
      </c>
    </row>
    <row r="49" spans="1:3">
      <c r="A49" s="2">
        <v>2</v>
      </c>
      <c r="B49" s="4" t="s">
        <v>230</v>
      </c>
    </row>
    <row r="50" spans="1:3">
      <c r="A50" s="2">
        <v>3</v>
      </c>
      <c r="B50" s="4" t="s">
        <v>162</v>
      </c>
    </row>
    <row r="51" spans="1:3">
      <c r="A51" s="2">
        <v>4</v>
      </c>
      <c r="B51" s="4" t="s">
        <v>231</v>
      </c>
    </row>
    <row r="53" spans="1:3">
      <c r="A53" s="1" t="str">
        <f>B24</f>
        <v>경량철골조</v>
      </c>
      <c r="B53" s="1"/>
      <c r="C53">
        <f>COUNTA(B54:B56)</f>
        <v>3</v>
      </c>
    </row>
    <row r="54" spans="1:3">
      <c r="A54" s="2">
        <v>1</v>
      </c>
      <c r="B54" s="4" t="s">
        <v>221</v>
      </c>
    </row>
    <row r="55" spans="1:3">
      <c r="A55" s="2">
        <v>2</v>
      </c>
      <c r="B55" s="4" t="s">
        <v>222</v>
      </c>
    </row>
    <row r="56" spans="1:3">
      <c r="A56" s="2">
        <v>3</v>
      </c>
      <c r="B56" s="4" t="s">
        <v>226</v>
      </c>
    </row>
    <row r="58" spans="1:3">
      <c r="A58" s="1" t="str">
        <f>B25</f>
        <v>목구조</v>
      </c>
      <c r="B58" s="1"/>
      <c r="C58">
        <f>COUNTA(B59:B60)</f>
        <v>2</v>
      </c>
    </row>
    <row r="59" spans="1:3">
      <c r="A59" s="2">
        <v>1</v>
      </c>
      <c r="B59" s="4" t="s">
        <v>223</v>
      </c>
    </row>
    <row r="60" spans="1:3">
      <c r="A60" s="2">
        <v>2</v>
      </c>
      <c r="B60" s="4" t="s">
        <v>224</v>
      </c>
    </row>
    <row r="62" spans="1:3">
      <c r="A62" s="1" t="s">
        <v>189</v>
      </c>
      <c r="B62" s="1"/>
    </row>
    <row r="63" spans="1:3">
      <c r="A63" s="2">
        <v>1</v>
      </c>
      <c r="B63" s="4" t="s">
        <v>190</v>
      </c>
    </row>
    <row r="64" spans="1:3">
      <c r="A64" s="2">
        <v>2</v>
      </c>
      <c r="B64" s="4" t="s">
        <v>191</v>
      </c>
    </row>
    <row r="66" spans="1:3">
      <c r="A66" s="1" t="s">
        <v>232</v>
      </c>
      <c r="B66" s="1"/>
    </row>
    <row r="67" spans="1:3">
      <c r="A67" s="2">
        <v>1</v>
      </c>
      <c r="B67" s="4" t="s">
        <v>193</v>
      </c>
      <c r="C67" t="s">
        <v>194</v>
      </c>
    </row>
    <row r="68" spans="1:3">
      <c r="A68" s="2">
        <v>2</v>
      </c>
      <c r="B68" s="4" t="s">
        <v>195</v>
      </c>
      <c r="C68" t="s">
        <v>233</v>
      </c>
    </row>
    <row r="70" spans="1:3">
      <c r="A70" s="1" t="s">
        <v>199</v>
      </c>
      <c r="B70" s="1"/>
    </row>
    <row r="71" spans="1:3">
      <c r="A71" s="2">
        <v>0</v>
      </c>
      <c r="B71" s="4" t="s">
        <v>234</v>
      </c>
    </row>
    <row r="72" spans="1:3">
      <c r="A72" s="2">
        <v>1</v>
      </c>
      <c r="B72" s="4" t="s">
        <v>235</v>
      </c>
    </row>
    <row r="73" spans="1:3">
      <c r="A73" s="2">
        <v>2</v>
      </c>
      <c r="B73" s="4" t="s">
        <v>236</v>
      </c>
    </row>
    <row r="74" spans="1:3">
      <c r="A74" s="2">
        <v>3</v>
      </c>
      <c r="B74" s="4" t="s">
        <v>237</v>
      </c>
    </row>
    <row r="75" spans="1:3">
      <c r="A75" s="2">
        <v>4</v>
      </c>
      <c r="B75" s="4" t="s">
        <v>238</v>
      </c>
    </row>
    <row r="76" spans="1:3">
      <c r="A76" s="2">
        <v>5</v>
      </c>
      <c r="B76" s="4" t="s">
        <v>239</v>
      </c>
    </row>
    <row r="77" spans="1:3">
      <c r="A77" s="2">
        <v>6</v>
      </c>
      <c r="B77" s="4" t="s">
        <v>240</v>
      </c>
    </row>
    <row r="79" spans="1:3">
      <c r="A79" s="1" t="s">
        <v>241</v>
      </c>
      <c r="B79" s="1"/>
    </row>
    <row r="80" spans="1:3">
      <c r="A80" s="2">
        <v>1</v>
      </c>
      <c r="B80" s="3" t="s">
        <v>157</v>
      </c>
    </row>
    <row r="81" spans="1:2">
      <c r="A81" s="2">
        <v>1</v>
      </c>
      <c r="B81" s="3" t="s">
        <v>242</v>
      </c>
    </row>
    <row r="82" spans="1:2">
      <c r="A82" s="2">
        <v>2</v>
      </c>
      <c r="B82" s="3" t="s">
        <v>243</v>
      </c>
    </row>
    <row r="83" spans="1:2">
      <c r="A83" s="2">
        <v>3</v>
      </c>
      <c r="B83" s="3" t="s">
        <v>244</v>
      </c>
    </row>
    <row r="84" spans="1:2">
      <c r="A84" s="2">
        <v>4</v>
      </c>
      <c r="B84" s="3" t="s">
        <v>245</v>
      </c>
    </row>
    <row r="85" spans="1:2">
      <c r="A85" s="2">
        <v>5</v>
      </c>
      <c r="B85" s="3" t="s">
        <v>224</v>
      </c>
    </row>
    <row r="86" spans="1:2">
      <c r="A86" s="2">
        <v>6</v>
      </c>
      <c r="B86" s="3" t="s">
        <v>246</v>
      </c>
    </row>
    <row r="87" spans="1:2">
      <c r="A87" s="2">
        <v>7</v>
      </c>
      <c r="B87" s="3" t="s">
        <v>247</v>
      </c>
    </row>
    <row r="89" spans="1:2">
      <c r="A89" s="18" t="s">
        <v>208</v>
      </c>
      <c r="B89" s="18" t="s">
        <v>209</v>
      </c>
    </row>
    <row r="90" spans="1:2">
      <c r="A90" s="2" t="s">
        <v>210</v>
      </c>
      <c r="B90" s="2" t="s">
        <v>211</v>
      </c>
    </row>
    <row r="91" spans="1:2">
      <c r="A91" s="2" t="s">
        <v>212</v>
      </c>
      <c r="B91" s="2" t="s">
        <v>213</v>
      </c>
    </row>
    <row r="92" spans="1:2">
      <c r="A92" s="2" t="s">
        <v>214</v>
      </c>
      <c r="B92" s="2" t="s">
        <v>215</v>
      </c>
    </row>
    <row r="93" spans="1:2">
      <c r="A93" s="2" t="s">
        <v>216</v>
      </c>
      <c r="B93" s="2" t="s">
        <v>217</v>
      </c>
    </row>
    <row r="94" spans="1:2">
      <c r="A94" s="2" t="s">
        <v>207</v>
      </c>
      <c r="B94" s="2" t="s">
        <v>248</v>
      </c>
    </row>
    <row r="95" spans="1:2">
      <c r="A95" s="2" t="s">
        <v>249</v>
      </c>
      <c r="B95" s="2" t="s">
        <v>250</v>
      </c>
    </row>
  </sheetData>
  <mergeCells count="14">
    <mergeCell ref="A70:B70"/>
    <mergeCell ref="A79:B79"/>
    <mergeCell ref="A41:B41"/>
    <mergeCell ref="A47:B47"/>
    <mergeCell ref="A53:B53"/>
    <mergeCell ref="A58:B58"/>
    <mergeCell ref="A62:B62"/>
    <mergeCell ref="A66:B66"/>
    <mergeCell ref="A2:B2"/>
    <mergeCell ref="A5:B5"/>
    <mergeCell ref="A16:B16"/>
    <mergeCell ref="A23:B23"/>
    <mergeCell ref="A29:B29"/>
    <mergeCell ref="A34:B3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C68"/>
  <sheetViews>
    <sheetView topLeftCell="A49" workbookViewId="0"/>
  </sheetViews>
  <sheetFormatPr defaultRowHeight="16.5"/>
  <cols>
    <col min="1" max="1" width="9" style="2"/>
    <col min="2" max="2" width="15.125" bestFit="1" customWidth="1"/>
  </cols>
  <sheetData>
    <row r="1" spans="1:2" ht="18" customHeight="1"/>
    <row r="3" spans="1:2">
      <c r="A3" s="1" t="s">
        <v>158</v>
      </c>
      <c r="B3" s="1"/>
    </row>
    <row r="4" spans="1:2">
      <c r="A4" s="2">
        <v>1</v>
      </c>
      <c r="B4" s="3" t="s">
        <v>251</v>
      </c>
    </row>
    <row r="5" spans="1:2">
      <c r="A5" s="2">
        <v>2</v>
      </c>
      <c r="B5" s="3" t="s">
        <v>252</v>
      </c>
    </row>
    <row r="7" spans="1:2">
      <c r="A7" s="1" t="s">
        <v>253</v>
      </c>
      <c r="B7" s="1"/>
    </row>
    <row r="8" spans="1:2">
      <c r="A8" s="2">
        <v>1</v>
      </c>
      <c r="B8" s="15" t="s">
        <v>254</v>
      </c>
    </row>
    <row r="9" spans="1:2">
      <c r="A9" s="2">
        <v>2</v>
      </c>
      <c r="B9" s="15" t="s">
        <v>255</v>
      </c>
    </row>
    <row r="10" spans="1:2">
      <c r="A10" s="2">
        <v>3</v>
      </c>
      <c r="B10" s="15" t="s">
        <v>256</v>
      </c>
    </row>
    <row r="11" spans="1:2">
      <c r="A11" s="2">
        <v>4</v>
      </c>
      <c r="B11" s="15" t="s">
        <v>257</v>
      </c>
    </row>
    <row r="14" spans="1:2">
      <c r="A14" s="1" t="s">
        <v>170</v>
      </c>
      <c r="B14" s="1"/>
    </row>
    <row r="15" spans="1:2">
      <c r="A15" s="2">
        <v>3</v>
      </c>
      <c r="B15" s="4" t="s">
        <v>173</v>
      </c>
    </row>
    <row r="16" spans="1:2">
      <c r="A16" s="2">
        <v>4</v>
      </c>
      <c r="B16" s="14" t="s">
        <v>258</v>
      </c>
    </row>
    <row r="18" spans="1:2">
      <c r="A18" s="1" t="s">
        <v>175</v>
      </c>
      <c r="B18" s="1"/>
    </row>
    <row r="19" spans="1:2">
      <c r="A19" s="2">
        <v>1</v>
      </c>
      <c r="B19" s="3" t="s">
        <v>176</v>
      </c>
    </row>
    <row r="20" spans="1:2">
      <c r="A20" s="2">
        <v>2</v>
      </c>
      <c r="B20" s="4" t="s">
        <v>259</v>
      </c>
    </row>
    <row r="21" spans="1:2">
      <c r="A21" s="2">
        <v>3</v>
      </c>
      <c r="B21" s="4" t="s">
        <v>178</v>
      </c>
    </row>
    <row r="23" spans="1:2">
      <c r="A23" s="1" t="s">
        <v>260</v>
      </c>
      <c r="B23" s="1"/>
    </row>
    <row r="24" spans="1:2">
      <c r="A24" s="2">
        <v>1</v>
      </c>
      <c r="B24" s="4" t="s">
        <v>261</v>
      </c>
    </row>
    <row r="25" spans="1:2">
      <c r="A25" s="2">
        <v>2</v>
      </c>
      <c r="B25" s="4" t="s">
        <v>262</v>
      </c>
    </row>
    <row r="26" spans="1:2">
      <c r="A26" s="2">
        <v>3</v>
      </c>
      <c r="B26" s="4" t="s">
        <v>181</v>
      </c>
    </row>
    <row r="27" spans="1:2">
      <c r="A27" s="2">
        <v>4</v>
      </c>
      <c r="B27" s="4" t="s">
        <v>182</v>
      </c>
    </row>
    <row r="28" spans="1:2">
      <c r="A28" s="2">
        <v>5</v>
      </c>
      <c r="B28" s="4" t="s">
        <v>263</v>
      </c>
    </row>
    <row r="30" spans="1:2">
      <c r="A30" s="1" t="s">
        <v>264</v>
      </c>
      <c r="B30" s="1"/>
    </row>
    <row r="31" spans="1:2">
      <c r="A31" s="2">
        <v>1</v>
      </c>
      <c r="B31" s="3" t="s">
        <v>265</v>
      </c>
    </row>
    <row r="32" spans="1:2">
      <c r="A32" s="2">
        <v>2</v>
      </c>
      <c r="B32" s="4" t="s">
        <v>266</v>
      </c>
    </row>
    <row r="34" spans="1:3">
      <c r="A34" s="1" t="s">
        <v>267</v>
      </c>
      <c r="B34" s="1"/>
    </row>
    <row r="35" spans="1:3">
      <c r="A35" s="2">
        <v>1</v>
      </c>
      <c r="B35" s="4" t="s">
        <v>268</v>
      </c>
    </row>
    <row r="36" spans="1:3">
      <c r="A36" s="2">
        <v>2</v>
      </c>
      <c r="B36" s="4" t="s">
        <v>269</v>
      </c>
    </row>
    <row r="38" spans="1:3">
      <c r="A38" s="1" t="s">
        <v>270</v>
      </c>
      <c r="B38" s="1"/>
    </row>
    <row r="39" spans="1:3">
      <c r="A39" s="2">
        <v>1</v>
      </c>
      <c r="B39" s="4" t="s">
        <v>193</v>
      </c>
      <c r="C39" t="s">
        <v>194</v>
      </c>
    </row>
    <row r="40" spans="1:3">
      <c r="A40" s="2">
        <v>2</v>
      </c>
      <c r="B40" s="4" t="s">
        <v>271</v>
      </c>
      <c r="C40" t="s">
        <v>196</v>
      </c>
    </row>
    <row r="41" spans="1:3">
      <c r="A41" s="2">
        <v>3</v>
      </c>
      <c r="B41" s="4" t="s">
        <v>272</v>
      </c>
      <c r="C41" t="s">
        <v>273</v>
      </c>
    </row>
    <row r="42" spans="1:3">
      <c r="A42"/>
    </row>
    <row r="43" spans="1:3">
      <c r="A43" s="1" t="s">
        <v>274</v>
      </c>
      <c r="B43" s="1"/>
    </row>
    <row r="44" spans="1:3">
      <c r="A44" s="2">
        <v>0</v>
      </c>
      <c r="B44" s="4" t="s">
        <v>261</v>
      </c>
    </row>
    <row r="45" spans="1:3">
      <c r="A45" s="2">
        <v>1</v>
      </c>
      <c r="B45" s="4" t="s">
        <v>235</v>
      </c>
    </row>
    <row r="46" spans="1:3">
      <c r="A46" s="2">
        <v>2</v>
      </c>
      <c r="B46" s="4" t="s">
        <v>236</v>
      </c>
    </row>
    <row r="47" spans="1:3">
      <c r="A47" s="2">
        <v>3</v>
      </c>
      <c r="B47" s="4" t="s">
        <v>237</v>
      </c>
    </row>
    <row r="48" spans="1:3">
      <c r="A48" s="2">
        <v>4</v>
      </c>
      <c r="B48" s="4" t="s">
        <v>238</v>
      </c>
    </row>
    <row r="49" spans="1:2">
      <c r="A49" s="2">
        <v>5</v>
      </c>
      <c r="B49" s="4" t="s">
        <v>239</v>
      </c>
    </row>
    <row r="50" spans="1:2">
      <c r="A50" s="2">
        <v>6</v>
      </c>
      <c r="B50" s="4" t="s">
        <v>240</v>
      </c>
    </row>
    <row r="52" spans="1:2">
      <c r="A52" s="1" t="s">
        <v>275</v>
      </c>
      <c r="B52" s="1"/>
    </row>
    <row r="53" spans="1:2">
      <c r="A53" s="2">
        <v>1</v>
      </c>
      <c r="B53" s="3" t="s">
        <v>276</v>
      </c>
    </row>
    <row r="54" spans="1:2">
      <c r="A54" s="2">
        <v>1</v>
      </c>
      <c r="B54" s="3" t="s">
        <v>277</v>
      </c>
    </row>
    <row r="55" spans="1:2">
      <c r="A55" s="2">
        <v>2</v>
      </c>
      <c r="B55" s="3" t="s">
        <v>278</v>
      </c>
    </row>
    <row r="56" spans="1:2">
      <c r="A56" s="2">
        <v>3</v>
      </c>
      <c r="B56" s="3" t="s">
        <v>279</v>
      </c>
    </row>
    <row r="57" spans="1:2">
      <c r="A57" s="2">
        <v>4</v>
      </c>
      <c r="B57" s="3" t="s">
        <v>280</v>
      </c>
    </row>
    <row r="58" spans="1:2">
      <c r="A58" s="2">
        <v>5</v>
      </c>
      <c r="B58" s="3" t="s">
        <v>281</v>
      </c>
    </row>
    <row r="59" spans="1:2">
      <c r="A59" s="2">
        <v>6</v>
      </c>
      <c r="B59" s="3" t="s">
        <v>225</v>
      </c>
    </row>
    <row r="60" spans="1:2">
      <c r="A60" s="2">
        <v>7</v>
      </c>
      <c r="B60" s="3" t="s">
        <v>263</v>
      </c>
    </row>
    <row r="62" spans="1:2">
      <c r="A62" s="18" t="s">
        <v>282</v>
      </c>
      <c r="B62" s="18" t="s">
        <v>209</v>
      </c>
    </row>
    <row r="63" spans="1:2">
      <c r="A63" s="2" t="s">
        <v>283</v>
      </c>
      <c r="B63" s="2" t="s">
        <v>284</v>
      </c>
    </row>
    <row r="64" spans="1:2">
      <c r="A64" s="2" t="s">
        <v>212</v>
      </c>
      <c r="B64" s="2" t="s">
        <v>213</v>
      </c>
    </row>
    <row r="65" spans="1:2">
      <c r="A65" s="2" t="s">
        <v>285</v>
      </c>
      <c r="B65" s="2" t="s">
        <v>286</v>
      </c>
    </row>
    <row r="66" spans="1:2">
      <c r="A66" s="2" t="s">
        <v>287</v>
      </c>
      <c r="B66" s="2" t="s">
        <v>288</v>
      </c>
    </row>
    <row r="67" spans="1:2">
      <c r="A67" s="2" t="s">
        <v>207</v>
      </c>
      <c r="B67" s="2" t="s">
        <v>218</v>
      </c>
    </row>
    <row r="68" spans="1:2">
      <c r="A68" s="2" t="s">
        <v>289</v>
      </c>
      <c r="B68" s="2" t="s">
        <v>220</v>
      </c>
    </row>
  </sheetData>
  <mergeCells count="10">
    <mergeCell ref="A34:B34"/>
    <mergeCell ref="A38:B38"/>
    <mergeCell ref="A43:B43"/>
    <mergeCell ref="A52:B52"/>
    <mergeCell ref="A3:B3"/>
    <mergeCell ref="A7:B7"/>
    <mergeCell ref="A14:B14"/>
    <mergeCell ref="A18:B18"/>
    <mergeCell ref="A23:B23"/>
    <mergeCell ref="A30:B30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C59"/>
  <sheetViews>
    <sheetView topLeftCell="A52" workbookViewId="0">
      <selection activeCell="A15" sqref="A15:B18"/>
    </sheetView>
  </sheetViews>
  <sheetFormatPr defaultRowHeight="16.5"/>
  <cols>
    <col min="1" max="1" width="9" style="2"/>
    <col min="2" max="2" width="15.125" bestFit="1" customWidth="1"/>
  </cols>
  <sheetData>
    <row r="1" spans="1:2" ht="18" customHeight="1"/>
    <row r="2" spans="1:2">
      <c r="A2" s="1" t="s">
        <v>290</v>
      </c>
      <c r="B2" s="1"/>
    </row>
    <row r="3" spans="1:2">
      <c r="A3" s="2">
        <v>1</v>
      </c>
      <c r="B3" s="3" t="s">
        <v>291</v>
      </c>
    </row>
    <row r="4" spans="1:2">
      <c r="A4" s="2">
        <v>2</v>
      </c>
      <c r="B4" s="3" t="s">
        <v>292</v>
      </c>
    </row>
    <row r="5" spans="1:2">
      <c r="A5" s="2">
        <v>3</v>
      </c>
      <c r="B5" s="3" t="s">
        <v>293</v>
      </c>
    </row>
    <row r="7" spans="1:2">
      <c r="A7" s="1" t="s">
        <v>294</v>
      </c>
      <c r="B7" s="1"/>
    </row>
    <row r="8" spans="1:2">
      <c r="A8" s="2">
        <v>1</v>
      </c>
      <c r="B8" s="15" t="s">
        <v>295</v>
      </c>
    </row>
    <row r="9" spans="1:2">
      <c r="A9" s="2">
        <v>2</v>
      </c>
      <c r="B9" s="15" t="s">
        <v>296</v>
      </c>
    </row>
    <row r="10" spans="1:2">
      <c r="A10" s="2">
        <v>3</v>
      </c>
      <c r="B10" s="15" t="s">
        <v>297</v>
      </c>
    </row>
    <row r="12" spans="1:2">
      <c r="A12" s="1" t="s">
        <v>298</v>
      </c>
      <c r="B12" s="1"/>
    </row>
    <row r="13" spans="1:2">
      <c r="A13" s="2">
        <v>3</v>
      </c>
      <c r="B13" s="4" t="s">
        <v>299</v>
      </c>
    </row>
    <row r="14" spans="1:2">
      <c r="A14" s="2">
        <v>4</v>
      </c>
      <c r="B14" s="14" t="s">
        <v>300</v>
      </c>
    </row>
    <row r="16" spans="1:2">
      <c r="A16" s="1" t="s">
        <v>301</v>
      </c>
      <c r="B16" s="1"/>
    </row>
    <row r="17" spans="1:2">
      <c r="A17" s="2">
        <v>1</v>
      </c>
      <c r="B17" s="3" t="s">
        <v>302</v>
      </c>
    </row>
    <row r="18" spans="1:2">
      <c r="A18" s="2">
        <v>2</v>
      </c>
      <c r="B18" s="4" t="s">
        <v>303</v>
      </c>
    </row>
    <row r="19" spans="1:2">
      <c r="A19" s="2">
        <v>3</v>
      </c>
      <c r="B19" s="4" t="s">
        <v>304</v>
      </c>
    </row>
    <row r="21" spans="1:2">
      <c r="A21" s="1" t="s">
        <v>305</v>
      </c>
      <c r="B21" s="1"/>
    </row>
    <row r="22" spans="1:2">
      <c r="A22" s="2">
        <v>1</v>
      </c>
      <c r="B22" s="4" t="s">
        <v>306</v>
      </c>
    </row>
    <row r="23" spans="1:2">
      <c r="A23" s="2">
        <v>2</v>
      </c>
      <c r="B23" s="4" t="s">
        <v>307</v>
      </c>
    </row>
    <row r="24" spans="1:2">
      <c r="A24" s="2">
        <v>3</v>
      </c>
      <c r="B24" s="4" t="s">
        <v>308</v>
      </c>
    </row>
    <row r="25" spans="1:2">
      <c r="A25" s="2">
        <v>4</v>
      </c>
      <c r="B25" s="4" t="s">
        <v>309</v>
      </c>
    </row>
    <row r="26" spans="1:2">
      <c r="A26" s="2">
        <v>5</v>
      </c>
      <c r="B26" s="4" t="s">
        <v>310</v>
      </c>
    </row>
    <row r="28" spans="1:2">
      <c r="A28" s="1" t="s">
        <v>311</v>
      </c>
      <c r="B28" s="1"/>
    </row>
    <row r="29" spans="1:2">
      <c r="A29" s="2">
        <v>1</v>
      </c>
      <c r="B29" s="3" t="s">
        <v>312</v>
      </c>
    </row>
    <row r="30" spans="1:2">
      <c r="A30" s="2">
        <v>2</v>
      </c>
      <c r="B30" s="4" t="s">
        <v>313</v>
      </c>
    </row>
    <row r="31" spans="1:2">
      <c r="A31" s="2">
        <v>3</v>
      </c>
      <c r="B31" s="14" t="s">
        <v>314</v>
      </c>
    </row>
    <row r="33" spans="1:3">
      <c r="A33" s="1" t="s">
        <v>315</v>
      </c>
      <c r="B33" s="1"/>
    </row>
    <row r="34" spans="1:3">
      <c r="A34" s="2">
        <v>1</v>
      </c>
      <c r="B34" s="4" t="s">
        <v>316</v>
      </c>
      <c r="C34" t="s">
        <v>317</v>
      </c>
    </row>
    <row r="35" spans="1:3">
      <c r="A35" s="2">
        <v>2</v>
      </c>
      <c r="B35" s="4" t="s">
        <v>318</v>
      </c>
      <c r="C35" t="s">
        <v>319</v>
      </c>
    </row>
    <row r="36" spans="1:3">
      <c r="A36"/>
    </row>
    <row r="37" spans="1:3">
      <c r="A37" s="1" t="s">
        <v>320</v>
      </c>
      <c r="B37" s="1"/>
    </row>
    <row r="38" spans="1:3">
      <c r="A38" s="2">
        <v>1</v>
      </c>
      <c r="B38" s="4" t="s">
        <v>321</v>
      </c>
    </row>
    <row r="39" spans="1:3">
      <c r="A39" s="2">
        <v>2</v>
      </c>
      <c r="B39" s="4" t="s">
        <v>322</v>
      </c>
    </row>
    <row r="40" spans="1:3">
      <c r="A40" s="2">
        <v>3</v>
      </c>
      <c r="B40" s="4" t="s">
        <v>323</v>
      </c>
    </row>
    <row r="41" spans="1:3">
      <c r="A41" s="2">
        <v>4</v>
      </c>
      <c r="B41" s="4" t="s">
        <v>324</v>
      </c>
    </row>
    <row r="43" spans="1:3">
      <c r="A43" s="1" t="s">
        <v>325</v>
      </c>
      <c r="B43" s="1"/>
    </row>
    <row r="44" spans="1:3">
      <c r="A44" s="2">
        <v>1</v>
      </c>
      <c r="B44" s="3" t="s">
        <v>326</v>
      </c>
    </row>
    <row r="45" spans="1:3">
      <c r="A45" s="2">
        <v>1</v>
      </c>
      <c r="B45" s="3" t="s">
        <v>327</v>
      </c>
    </row>
    <row r="46" spans="1:3">
      <c r="A46" s="2">
        <v>2</v>
      </c>
      <c r="B46" s="3" t="s">
        <v>328</v>
      </c>
    </row>
    <row r="48" spans="1:3">
      <c r="A48" s="1" t="s">
        <v>329</v>
      </c>
      <c r="B48" s="1"/>
    </row>
    <row r="49" spans="1:2">
      <c r="A49" s="2">
        <v>1</v>
      </c>
      <c r="B49" s="4" t="s">
        <v>330</v>
      </c>
    </row>
    <row r="50" spans="1:2">
      <c r="A50" s="2">
        <v>2</v>
      </c>
      <c r="B50" s="4" t="s">
        <v>331</v>
      </c>
    </row>
    <row r="51" spans="1:2">
      <c r="A51" s="2">
        <v>3</v>
      </c>
      <c r="B51" s="14" t="s">
        <v>332</v>
      </c>
    </row>
    <row r="53" spans="1:2">
      <c r="A53" s="18" t="s">
        <v>333</v>
      </c>
      <c r="B53" s="18" t="s">
        <v>334</v>
      </c>
    </row>
    <row r="54" spans="1:2">
      <c r="A54" s="2" t="s">
        <v>335</v>
      </c>
      <c r="B54" s="2" t="s">
        <v>336</v>
      </c>
    </row>
    <row r="55" spans="1:2">
      <c r="A55" s="2" t="s">
        <v>337</v>
      </c>
      <c r="B55" s="2" t="s">
        <v>338</v>
      </c>
    </row>
    <row r="56" spans="1:2">
      <c r="A56" s="2" t="s">
        <v>339</v>
      </c>
      <c r="B56" s="2" t="s">
        <v>340</v>
      </c>
    </row>
    <row r="57" spans="1:2">
      <c r="A57" s="2" t="s">
        <v>341</v>
      </c>
      <c r="B57" s="2" t="s">
        <v>342</v>
      </c>
    </row>
    <row r="58" spans="1:2">
      <c r="A58" s="2" t="s">
        <v>343</v>
      </c>
      <c r="B58" s="2" t="s">
        <v>248</v>
      </c>
    </row>
    <row r="59" spans="1:2">
      <c r="A59" s="2" t="s">
        <v>344</v>
      </c>
      <c r="B59" s="2" t="s">
        <v>345</v>
      </c>
    </row>
  </sheetData>
  <mergeCells count="10">
    <mergeCell ref="A33:B33"/>
    <mergeCell ref="A37:B37"/>
    <mergeCell ref="A43:B43"/>
    <mergeCell ref="A48:B48"/>
    <mergeCell ref="A2:B2"/>
    <mergeCell ref="A7:B7"/>
    <mergeCell ref="A12:B12"/>
    <mergeCell ref="A16:B16"/>
    <mergeCell ref="A21:B21"/>
    <mergeCell ref="A28:B2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C55"/>
  <sheetViews>
    <sheetView topLeftCell="A49" workbookViewId="0">
      <selection activeCell="A15" sqref="A15:B18"/>
    </sheetView>
  </sheetViews>
  <sheetFormatPr defaultRowHeight="16.5"/>
  <cols>
    <col min="1" max="1" width="9" style="2"/>
    <col min="2" max="2" width="15.125" bestFit="1" customWidth="1"/>
  </cols>
  <sheetData>
    <row r="1" spans="1:2" ht="18" customHeight="1"/>
    <row r="2" spans="1:2">
      <c r="A2" s="1" t="s">
        <v>290</v>
      </c>
      <c r="B2" s="1"/>
    </row>
    <row r="3" spans="1:2">
      <c r="A3" s="2">
        <v>1</v>
      </c>
      <c r="B3" s="3" t="s">
        <v>291</v>
      </c>
    </row>
    <row r="4" spans="1:2">
      <c r="A4" s="2">
        <v>2</v>
      </c>
      <c r="B4" s="3" t="s">
        <v>292</v>
      </c>
    </row>
    <row r="5" spans="1:2">
      <c r="A5" s="2">
        <v>3</v>
      </c>
      <c r="B5" s="3" t="s">
        <v>293</v>
      </c>
    </row>
    <row r="7" spans="1:2">
      <c r="A7" s="1" t="s">
        <v>346</v>
      </c>
      <c r="B7" s="1"/>
    </row>
    <row r="8" spans="1:2">
      <c r="A8" s="2">
        <v>1</v>
      </c>
      <c r="B8" s="15" t="s">
        <v>347</v>
      </c>
    </row>
    <row r="9" spans="1:2">
      <c r="A9" s="2">
        <v>2</v>
      </c>
      <c r="B9" s="15" t="s">
        <v>348</v>
      </c>
    </row>
    <row r="10" spans="1:2">
      <c r="A10" s="2">
        <v>3</v>
      </c>
      <c r="B10" s="15" t="s">
        <v>349</v>
      </c>
    </row>
    <row r="11" spans="1:2">
      <c r="A11" s="1" t="s">
        <v>298</v>
      </c>
      <c r="B11" s="1"/>
    </row>
    <row r="12" spans="1:2">
      <c r="A12" s="2">
        <v>3</v>
      </c>
      <c r="B12" s="4" t="s">
        <v>299</v>
      </c>
    </row>
    <row r="13" spans="1:2">
      <c r="A13" s="2">
        <v>4</v>
      </c>
      <c r="B13" s="14" t="s">
        <v>300</v>
      </c>
    </row>
    <row r="15" spans="1:2">
      <c r="A15" s="1" t="s">
        <v>301</v>
      </c>
      <c r="B15" s="1"/>
    </row>
    <row r="16" spans="1:2">
      <c r="A16" s="2">
        <v>1</v>
      </c>
      <c r="B16" s="3" t="s">
        <v>302</v>
      </c>
    </row>
    <row r="17" spans="1:3">
      <c r="A17" s="2">
        <v>2</v>
      </c>
      <c r="B17" s="4" t="s">
        <v>303</v>
      </c>
    </row>
    <row r="18" spans="1:3">
      <c r="A18" s="2">
        <v>3</v>
      </c>
      <c r="B18" s="4" t="s">
        <v>304</v>
      </c>
    </row>
    <row r="20" spans="1:3">
      <c r="A20" s="1" t="s">
        <v>350</v>
      </c>
      <c r="B20" s="1"/>
    </row>
    <row r="21" spans="1:3">
      <c r="A21" s="2">
        <v>1</v>
      </c>
      <c r="B21" s="4" t="s">
        <v>351</v>
      </c>
    </row>
    <row r="22" spans="1:3">
      <c r="A22" s="2">
        <v>2</v>
      </c>
      <c r="B22" s="4" t="s">
        <v>307</v>
      </c>
    </row>
    <row r="23" spans="1:3">
      <c r="A23" s="2">
        <v>3</v>
      </c>
      <c r="B23" s="4" t="s">
        <v>308</v>
      </c>
    </row>
    <row r="25" spans="1:3">
      <c r="A25" s="1" t="s">
        <v>311</v>
      </c>
      <c r="B25" s="1"/>
    </row>
    <row r="26" spans="1:3">
      <c r="A26" s="2">
        <v>1</v>
      </c>
      <c r="B26" s="3" t="s">
        <v>312</v>
      </c>
    </row>
    <row r="27" spans="1:3">
      <c r="A27" s="2">
        <v>2</v>
      </c>
      <c r="B27" s="4" t="s">
        <v>313</v>
      </c>
    </row>
    <row r="28" spans="1:3">
      <c r="A28" s="2">
        <v>3</v>
      </c>
      <c r="B28" s="14" t="s">
        <v>314</v>
      </c>
    </row>
    <row r="30" spans="1:3">
      <c r="A30" s="1" t="s">
        <v>315</v>
      </c>
      <c r="B30" s="1"/>
    </row>
    <row r="31" spans="1:3">
      <c r="A31" s="2">
        <v>1</v>
      </c>
      <c r="B31" s="4" t="s">
        <v>316</v>
      </c>
      <c r="C31" t="s">
        <v>317</v>
      </c>
    </row>
    <row r="32" spans="1:3">
      <c r="A32" s="2">
        <v>2</v>
      </c>
      <c r="B32" s="4" t="s">
        <v>318</v>
      </c>
      <c r="C32" t="s">
        <v>319</v>
      </c>
    </row>
    <row r="33" spans="1:2">
      <c r="A33"/>
    </row>
    <row r="34" spans="1:2">
      <c r="A34" s="1" t="s">
        <v>352</v>
      </c>
      <c r="B34" s="1"/>
    </row>
    <row r="35" spans="1:2">
      <c r="A35" s="2">
        <v>1</v>
      </c>
      <c r="B35" s="4" t="s">
        <v>353</v>
      </c>
    </row>
    <row r="36" spans="1:2">
      <c r="A36" s="2">
        <v>2</v>
      </c>
      <c r="B36" s="4" t="s">
        <v>354</v>
      </c>
    </row>
    <row r="37" spans="1:2">
      <c r="A37" s="2">
        <v>3</v>
      </c>
      <c r="B37" s="4" t="s">
        <v>323</v>
      </c>
    </row>
    <row r="38" spans="1:2">
      <c r="A38" s="2">
        <v>4</v>
      </c>
      <c r="B38" s="4" t="s">
        <v>324</v>
      </c>
    </row>
    <row r="40" spans="1:2">
      <c r="A40" s="1" t="s">
        <v>325</v>
      </c>
      <c r="B40" s="1"/>
    </row>
    <row r="41" spans="1:2">
      <c r="A41" s="2">
        <v>1</v>
      </c>
      <c r="B41" s="3" t="s">
        <v>355</v>
      </c>
    </row>
    <row r="42" spans="1:2">
      <c r="A42" s="2">
        <v>2</v>
      </c>
      <c r="B42" s="3" t="s">
        <v>328</v>
      </c>
    </row>
    <row r="44" spans="1:2">
      <c r="A44" s="1" t="s">
        <v>356</v>
      </c>
      <c r="B44" s="1"/>
    </row>
    <row r="45" spans="1:2">
      <c r="A45" s="2">
        <v>1</v>
      </c>
      <c r="B45" s="15" t="s">
        <v>357</v>
      </c>
    </row>
    <row r="46" spans="1:2">
      <c r="A46" s="2">
        <v>2</v>
      </c>
      <c r="B46" s="15" t="s">
        <v>358</v>
      </c>
    </row>
    <row r="47" spans="1:2">
      <c r="A47" s="2">
        <v>3</v>
      </c>
      <c r="B47" s="15" t="s">
        <v>359</v>
      </c>
    </row>
    <row r="48" spans="1:2">
      <c r="A48" s="2">
        <v>4</v>
      </c>
      <c r="B48" s="15" t="s">
        <v>360</v>
      </c>
    </row>
    <row r="50" spans="1:2">
      <c r="A50" s="1" t="s">
        <v>361</v>
      </c>
      <c r="B50" s="1"/>
    </row>
    <row r="51" spans="1:2">
      <c r="A51" s="21">
        <v>1</v>
      </c>
      <c r="B51" s="20" t="s">
        <v>362</v>
      </c>
    </row>
    <row r="52" spans="1:2">
      <c r="A52" s="21">
        <v>2</v>
      </c>
      <c r="B52" s="20" t="s">
        <v>363</v>
      </c>
    </row>
    <row r="53" spans="1:2">
      <c r="A53" s="21">
        <v>3</v>
      </c>
      <c r="B53" s="20" t="s">
        <v>364</v>
      </c>
    </row>
    <row r="54" spans="1:2">
      <c r="A54" s="21">
        <v>4</v>
      </c>
      <c r="B54" s="20" t="s">
        <v>365</v>
      </c>
    </row>
    <row r="55" spans="1:2">
      <c r="A55" s="21">
        <v>5</v>
      </c>
      <c r="B55" s="20" t="s">
        <v>366</v>
      </c>
    </row>
  </sheetData>
  <mergeCells count="11">
    <mergeCell ref="A30:B30"/>
    <mergeCell ref="A34:B34"/>
    <mergeCell ref="A40:B40"/>
    <mergeCell ref="A44:B44"/>
    <mergeCell ref="A50:B50"/>
    <mergeCell ref="A2:B2"/>
    <mergeCell ref="A7:B7"/>
    <mergeCell ref="A11:B11"/>
    <mergeCell ref="A15:B15"/>
    <mergeCell ref="A20:B20"/>
    <mergeCell ref="A25:B25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C75"/>
  <sheetViews>
    <sheetView topLeftCell="A55" workbookViewId="0">
      <selection activeCell="D14" sqref="D14"/>
    </sheetView>
  </sheetViews>
  <sheetFormatPr defaultRowHeight="16.5"/>
  <cols>
    <col min="1" max="1" width="3.5" style="2" bestFit="1" customWidth="1"/>
    <col min="2" max="3" width="23.625" bestFit="1" customWidth="1"/>
    <col min="4" max="4" width="21.375" bestFit="1" customWidth="1"/>
    <col min="5" max="5" width="15.125" bestFit="1" customWidth="1"/>
  </cols>
  <sheetData>
    <row r="1" spans="1:3">
      <c r="B1" s="2"/>
      <c r="C1" s="2"/>
    </row>
    <row r="2" spans="1:3">
      <c r="A2" s="8" t="s">
        <v>367</v>
      </c>
      <c r="B2" s="9"/>
    </row>
    <row r="3" spans="1:3">
      <c r="A3" s="2">
        <v>1</v>
      </c>
      <c r="B3" s="3" t="s">
        <v>368</v>
      </c>
      <c r="C3" s="2" t="s">
        <v>369</v>
      </c>
    </row>
    <row r="4" spans="1:3">
      <c r="A4" s="2">
        <v>2</v>
      </c>
      <c r="B4" s="3" t="s">
        <v>370</v>
      </c>
      <c r="C4" s="2" t="s">
        <v>371</v>
      </c>
    </row>
    <row r="5" spans="1:3">
      <c r="A5" s="2">
        <v>3</v>
      </c>
      <c r="B5" s="3" t="s">
        <v>372</v>
      </c>
      <c r="C5" s="2" t="s">
        <v>373</v>
      </c>
    </row>
    <row r="6" spans="1:3">
      <c r="A6" s="2">
        <v>4</v>
      </c>
      <c r="B6" s="3" t="s">
        <v>374</v>
      </c>
      <c r="C6" s="2" t="s">
        <v>375</v>
      </c>
    </row>
    <row r="7" spans="1:3">
      <c r="A7" s="2">
        <v>5</v>
      </c>
      <c r="B7" s="3" t="s">
        <v>376</v>
      </c>
      <c r="C7" s="2" t="s">
        <v>377</v>
      </c>
    </row>
    <row r="8" spans="1:3">
      <c r="A8" s="2">
        <v>6</v>
      </c>
      <c r="B8" s="3" t="s">
        <v>378</v>
      </c>
      <c r="C8" s="2" t="s">
        <v>379</v>
      </c>
    </row>
    <row r="9" spans="1:3">
      <c r="A9" s="2">
        <v>7</v>
      </c>
      <c r="B9" s="3" t="s">
        <v>380</v>
      </c>
      <c r="C9" s="2" t="s">
        <v>381</v>
      </c>
    </row>
    <row r="10" spans="1:3">
      <c r="A10" s="2">
        <v>8</v>
      </c>
      <c r="B10" s="3" t="s">
        <v>382</v>
      </c>
      <c r="C10" s="2" t="s">
        <v>383</v>
      </c>
    </row>
    <row r="12" spans="1:3">
      <c r="A12" s="1" t="s">
        <v>384</v>
      </c>
      <c r="B12" s="1"/>
    </row>
    <row r="13" spans="1:3">
      <c r="A13" s="2">
        <v>0</v>
      </c>
      <c r="B13" s="4" t="s">
        <v>385</v>
      </c>
    </row>
    <row r="14" spans="1:3">
      <c r="A14" s="2">
        <v>1</v>
      </c>
      <c r="B14" s="4" t="s">
        <v>147</v>
      </c>
    </row>
    <row r="15" spans="1:3">
      <c r="A15" s="2">
        <v>2</v>
      </c>
      <c r="B15" s="4" t="s">
        <v>148</v>
      </c>
    </row>
    <row r="16" spans="1:3">
      <c r="A16" s="2">
        <v>3</v>
      </c>
      <c r="B16" s="4" t="s">
        <v>149</v>
      </c>
    </row>
    <row r="17" spans="1:2">
      <c r="A17" s="2">
        <v>4</v>
      </c>
      <c r="B17" s="4" t="s">
        <v>150</v>
      </c>
    </row>
    <row r="18" spans="1:2">
      <c r="A18" s="2">
        <v>5</v>
      </c>
      <c r="B18" s="4" t="s">
        <v>151</v>
      </c>
    </row>
    <row r="19" spans="1:2">
      <c r="A19" s="2">
        <v>6</v>
      </c>
      <c r="B19" s="4" t="s">
        <v>152</v>
      </c>
    </row>
    <row r="20" spans="1:2">
      <c r="A20" s="2">
        <v>7</v>
      </c>
      <c r="B20" s="4" t="s">
        <v>153</v>
      </c>
    </row>
    <row r="21" spans="1:2">
      <c r="A21" s="2">
        <v>8</v>
      </c>
      <c r="B21" s="4" t="s">
        <v>154</v>
      </c>
    </row>
    <row r="22" spans="1:2">
      <c r="A22" s="2">
        <v>9</v>
      </c>
      <c r="B22" s="4" t="s">
        <v>386</v>
      </c>
    </row>
    <row r="24" spans="1:2">
      <c r="A24" s="1" t="s">
        <v>387</v>
      </c>
      <c r="B24" s="1"/>
    </row>
    <row r="25" spans="1:2">
      <c r="A25" s="2">
        <v>1</v>
      </c>
      <c r="B25" s="4">
        <v>0</v>
      </c>
    </row>
    <row r="26" spans="1:2">
      <c r="A26" s="2">
        <v>2</v>
      </c>
      <c r="B26" s="4">
        <v>30</v>
      </c>
    </row>
    <row r="27" spans="1:2">
      <c r="A27" s="2">
        <v>3</v>
      </c>
      <c r="B27" s="4">
        <v>45</v>
      </c>
    </row>
    <row r="28" spans="1:2">
      <c r="A28" s="2">
        <v>4</v>
      </c>
      <c r="B28" s="4">
        <v>60</v>
      </c>
    </row>
    <row r="30" spans="1:2">
      <c r="A30" s="1" t="s">
        <v>388</v>
      </c>
      <c r="B30" s="1"/>
    </row>
    <row r="31" spans="1:2">
      <c r="A31" s="2">
        <v>1</v>
      </c>
      <c r="B31" s="4">
        <v>0</v>
      </c>
    </row>
    <row r="32" spans="1:2">
      <c r="A32" s="2">
        <v>2</v>
      </c>
      <c r="B32" s="4">
        <v>30</v>
      </c>
    </row>
    <row r="34" spans="1:2">
      <c r="A34" s="1" t="s">
        <v>389</v>
      </c>
      <c r="B34" s="1"/>
    </row>
    <row r="35" spans="1:2">
      <c r="A35" s="2">
        <v>1</v>
      </c>
      <c r="B35" s="4">
        <v>90</v>
      </c>
    </row>
    <row r="36" spans="1:2">
      <c r="A36" s="2">
        <v>2</v>
      </c>
      <c r="B36" s="4">
        <v>60</v>
      </c>
    </row>
    <row r="37" spans="1:2">
      <c r="A37" s="2">
        <v>3</v>
      </c>
      <c r="B37" s="4">
        <v>45</v>
      </c>
    </row>
    <row r="39" spans="1:2">
      <c r="A39" s="1" t="s">
        <v>390</v>
      </c>
      <c r="B39" s="1"/>
    </row>
    <row r="40" spans="1:2">
      <c r="A40" s="2">
        <v>1</v>
      </c>
      <c r="B40" s="4">
        <v>90</v>
      </c>
    </row>
    <row r="41" spans="1:2">
      <c r="A41" s="2">
        <v>2</v>
      </c>
      <c r="B41" s="4">
        <v>60</v>
      </c>
    </row>
    <row r="42" spans="1:2">
      <c r="A42" s="2">
        <v>3</v>
      </c>
      <c r="B42" s="4">
        <v>45</v>
      </c>
    </row>
    <row r="43" spans="1:2">
      <c r="A43" s="2">
        <v>4</v>
      </c>
      <c r="B43" s="4">
        <v>30</v>
      </c>
    </row>
    <row r="44" spans="1:2">
      <c r="A44" s="2">
        <v>5</v>
      </c>
      <c r="B44" s="4">
        <v>0</v>
      </c>
    </row>
    <row r="46" spans="1:2">
      <c r="A46" s="1" t="s">
        <v>391</v>
      </c>
      <c r="B46" s="1"/>
    </row>
    <row r="47" spans="1:2">
      <c r="A47" s="2">
        <v>1</v>
      </c>
      <c r="B47" s="4">
        <v>0</v>
      </c>
    </row>
    <row r="48" spans="1:2">
      <c r="A48" s="2">
        <v>2</v>
      </c>
      <c r="B48" s="4">
        <v>30</v>
      </c>
    </row>
    <row r="49" spans="1:2">
      <c r="A49" s="2">
        <v>3</v>
      </c>
      <c r="B49" s="4">
        <v>45</v>
      </c>
    </row>
    <row r="50" spans="1:2">
      <c r="A50" s="2">
        <v>4</v>
      </c>
      <c r="B50" s="4">
        <v>60</v>
      </c>
    </row>
    <row r="51" spans="1:2">
      <c r="A51" s="2">
        <v>5</v>
      </c>
      <c r="B51" s="4">
        <v>80</v>
      </c>
    </row>
    <row r="53" spans="1:2">
      <c r="A53" s="1" t="s">
        <v>392</v>
      </c>
      <c r="B53" s="1"/>
    </row>
    <row r="54" spans="1:2">
      <c r="A54" s="2">
        <v>1</v>
      </c>
      <c r="B54" s="3" t="s">
        <v>393</v>
      </c>
    </row>
    <row r="55" spans="1:2">
      <c r="A55" s="2">
        <v>2</v>
      </c>
      <c r="B55" s="3" t="s">
        <v>394</v>
      </c>
    </row>
    <row r="56" spans="1:2">
      <c r="A56" s="2">
        <v>3</v>
      </c>
      <c r="B56" s="3" t="s">
        <v>395</v>
      </c>
    </row>
    <row r="57" spans="1:2">
      <c r="A57" s="2">
        <v>4</v>
      </c>
      <c r="B57" s="14" t="s">
        <v>396</v>
      </c>
    </row>
    <row r="58" spans="1:2">
      <c r="A58"/>
    </row>
    <row r="59" spans="1:2">
      <c r="A59" s="1" t="s">
        <v>397</v>
      </c>
      <c r="B59" s="1"/>
    </row>
    <row r="60" spans="1:2">
      <c r="A60" s="2">
        <v>1</v>
      </c>
      <c r="B60" s="4" t="s">
        <v>398</v>
      </c>
    </row>
    <row r="61" spans="1:2">
      <c r="A61" s="2">
        <v>2</v>
      </c>
      <c r="B61" s="4" t="s">
        <v>399</v>
      </c>
    </row>
    <row r="62" spans="1:2">
      <c r="A62" s="2">
        <v>3</v>
      </c>
      <c r="B62" s="14" t="s">
        <v>400</v>
      </c>
    </row>
    <row r="63" spans="1:2">
      <c r="A63" s="2">
        <v>4</v>
      </c>
      <c r="B63" s="14" t="s">
        <v>396</v>
      </c>
    </row>
    <row r="64" spans="1:2">
      <c r="A64"/>
    </row>
    <row r="65" spans="1:2">
      <c r="A65" s="1" t="s">
        <v>401</v>
      </c>
      <c r="B65" s="1"/>
    </row>
    <row r="66" spans="1:2">
      <c r="A66" s="2">
        <v>1</v>
      </c>
      <c r="B66" s="4" t="s">
        <v>402</v>
      </c>
    </row>
    <row r="67" spans="1:2">
      <c r="A67" s="2">
        <v>2</v>
      </c>
      <c r="B67" s="4" t="s">
        <v>403</v>
      </c>
    </row>
    <row r="68" spans="1:2">
      <c r="A68" s="2">
        <v>3</v>
      </c>
      <c r="B68" s="14" t="s">
        <v>404</v>
      </c>
    </row>
    <row r="69" spans="1:2">
      <c r="A69" s="2">
        <v>4</v>
      </c>
      <c r="B69" s="14" t="s">
        <v>396</v>
      </c>
    </row>
    <row r="71" spans="1:2">
      <c r="A71" s="1" t="s">
        <v>405</v>
      </c>
      <c r="B71" s="1"/>
    </row>
    <row r="72" spans="1:2">
      <c r="A72" s="2">
        <v>1</v>
      </c>
      <c r="B72" s="4" t="s">
        <v>406</v>
      </c>
    </row>
    <row r="73" spans="1:2">
      <c r="A73" s="2">
        <v>2</v>
      </c>
      <c r="B73" s="4" t="s">
        <v>407</v>
      </c>
    </row>
    <row r="74" spans="1:2">
      <c r="A74" s="2">
        <v>3</v>
      </c>
      <c r="B74" s="14" t="s">
        <v>408</v>
      </c>
    </row>
    <row r="75" spans="1:2">
      <c r="A75" s="2">
        <v>4</v>
      </c>
      <c r="B75" s="14" t="s">
        <v>386</v>
      </c>
    </row>
  </sheetData>
  <mergeCells count="11">
    <mergeCell ref="A46:B46"/>
    <mergeCell ref="A53:B53"/>
    <mergeCell ref="A59:B59"/>
    <mergeCell ref="A65:B65"/>
    <mergeCell ref="A71:B71"/>
    <mergeCell ref="A2:B2"/>
    <mergeCell ref="A12:B12"/>
    <mergeCell ref="A24:B24"/>
    <mergeCell ref="A30:B30"/>
    <mergeCell ref="A34:B34"/>
    <mergeCell ref="A39:B39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O148"/>
  <sheetViews>
    <sheetView tabSelected="1" workbookViewId="0">
      <selection activeCell="D6" sqref="D6"/>
    </sheetView>
  </sheetViews>
  <sheetFormatPr defaultRowHeight="16.5"/>
  <cols>
    <col min="1" max="1" width="3.5" style="2" bestFit="1" customWidth="1"/>
    <col min="2" max="3" width="23.625" bestFit="1" customWidth="1"/>
    <col min="4" max="4" width="15.75" customWidth="1"/>
    <col min="5" max="5" width="16.125" customWidth="1"/>
    <col min="6" max="6" width="15.25" customWidth="1"/>
    <col min="7" max="7" width="15.125" customWidth="1"/>
    <col min="8" max="8" width="15.375" customWidth="1"/>
  </cols>
  <sheetData>
    <row r="1" spans="1:8">
      <c r="A1" s="2" t="str">
        <f ca="1">RIGHT(CELL("filename",$B$1),LEN(CELL("filename",$B$1))-FIND("]",CELL("filename",$B$1)))</f>
        <v>존일반index</v>
      </c>
    </row>
    <row r="2" spans="1:8">
      <c r="B2" s="22" t="s">
        <v>409</v>
      </c>
      <c r="C2" s="23" t="s">
        <v>410</v>
      </c>
      <c r="D2" s="24"/>
    </row>
    <row r="3" spans="1:8">
      <c r="B3" s="22" t="s">
        <v>411</v>
      </c>
      <c r="C3" s="23" t="s">
        <v>412</v>
      </c>
      <c r="D3" s="24"/>
    </row>
    <row r="4" spans="1:8">
      <c r="B4" s="22" t="s">
        <v>413</v>
      </c>
      <c r="C4" s="23" t="s">
        <v>414</v>
      </c>
      <c r="D4" s="24"/>
    </row>
    <row r="5" spans="1:8">
      <c r="B5" s="22" t="s">
        <v>415</v>
      </c>
      <c r="C5" s="23" t="s">
        <v>416</v>
      </c>
      <c r="D5" s="24"/>
    </row>
    <row r="6" spans="1:8">
      <c r="B6" s="22" t="s">
        <v>417</v>
      </c>
      <c r="C6" s="23" t="s">
        <v>418</v>
      </c>
      <c r="D6" s="24"/>
    </row>
    <row r="7" spans="1:8">
      <c r="B7" s="22" t="s">
        <v>419</v>
      </c>
      <c r="C7" s="23" t="s">
        <v>420</v>
      </c>
      <c r="D7" s="24"/>
    </row>
    <row r="8" spans="1:8">
      <c r="B8" s="22" t="s">
        <v>421</v>
      </c>
      <c r="C8" s="23" t="s">
        <v>422</v>
      </c>
      <c r="D8" s="24"/>
    </row>
    <row r="10" spans="1:8">
      <c r="B10" s="2"/>
    </row>
    <row r="11" spans="1:8">
      <c r="A11" s="2" t="s">
        <v>423</v>
      </c>
      <c r="B11" s="2">
        <f t="shared" ref="B11:H11" si="0">COUNTA(B13:B31)-COUNTIF(B13:B31,"")</f>
        <v>14</v>
      </c>
      <c r="C11" s="2">
        <f t="shared" si="0"/>
        <v>14</v>
      </c>
      <c r="D11" s="2">
        <f t="shared" si="0"/>
        <v>13</v>
      </c>
      <c r="E11" s="2">
        <f t="shared" si="0"/>
        <v>17</v>
      </c>
      <c r="F11" s="2">
        <f t="shared" si="0"/>
        <v>19</v>
      </c>
      <c r="G11" s="2">
        <f t="shared" si="0"/>
        <v>15</v>
      </c>
      <c r="H11" s="2">
        <f t="shared" si="0"/>
        <v>12</v>
      </c>
    </row>
    <row r="12" spans="1:8">
      <c r="A12" s="25"/>
      <c r="B12" s="26" t="s">
        <v>424</v>
      </c>
      <c r="C12" s="26" t="s">
        <v>425</v>
      </c>
      <c r="D12" s="26" t="s">
        <v>426</v>
      </c>
      <c r="E12" s="26" t="s">
        <v>416</v>
      </c>
      <c r="F12" s="26" t="s">
        <v>418</v>
      </c>
      <c r="G12" s="26" t="s">
        <v>427</v>
      </c>
      <c r="H12" s="26" t="s">
        <v>428</v>
      </c>
    </row>
    <row r="13" spans="1:8">
      <c r="A13" s="2">
        <v>1</v>
      </c>
      <c r="B13" s="27" t="s">
        <v>505</v>
      </c>
      <c r="C13" s="27" t="s">
        <v>505</v>
      </c>
      <c r="D13" s="27" t="s">
        <v>505</v>
      </c>
      <c r="E13" s="27" t="s">
        <v>505</v>
      </c>
      <c r="F13" s="27" t="s">
        <v>505</v>
      </c>
      <c r="G13" s="27" t="s">
        <v>505</v>
      </c>
      <c r="H13" s="27" t="s">
        <v>505</v>
      </c>
    </row>
    <row r="14" spans="1:8">
      <c r="A14" s="2">
        <v>2</v>
      </c>
      <c r="B14" s="27" t="s">
        <v>506</v>
      </c>
      <c r="C14" s="27" t="s">
        <v>506</v>
      </c>
      <c r="D14" s="27" t="s">
        <v>506</v>
      </c>
      <c r="E14" s="27" t="s">
        <v>506</v>
      </c>
      <c r="F14" s="27" t="s">
        <v>506</v>
      </c>
      <c r="G14" s="27" t="s">
        <v>506</v>
      </c>
      <c r="H14" s="27" t="s">
        <v>506</v>
      </c>
    </row>
    <row r="15" spans="1:8">
      <c r="A15" s="2">
        <v>3</v>
      </c>
      <c r="B15" s="27" t="s">
        <v>507</v>
      </c>
      <c r="C15" s="27" t="s">
        <v>507</v>
      </c>
      <c r="D15" s="27" t="s">
        <v>507</v>
      </c>
      <c r="E15" s="27" t="s">
        <v>507</v>
      </c>
      <c r="F15" s="27" t="s">
        <v>507</v>
      </c>
      <c r="G15" s="27" t="s">
        <v>507</v>
      </c>
      <c r="H15" s="27" t="s">
        <v>507</v>
      </c>
    </row>
    <row r="16" spans="1:8">
      <c r="A16" s="2">
        <v>4</v>
      </c>
      <c r="B16" s="27" t="s">
        <v>508</v>
      </c>
      <c r="C16" s="27" t="s">
        <v>508</v>
      </c>
      <c r="D16" s="27" t="s">
        <v>509</v>
      </c>
      <c r="E16" s="27" t="s">
        <v>508</v>
      </c>
      <c r="F16" s="27" t="s">
        <v>508</v>
      </c>
      <c r="G16" s="27" t="s">
        <v>508</v>
      </c>
      <c r="H16" s="27" t="s">
        <v>508</v>
      </c>
    </row>
    <row r="17" spans="1:8">
      <c r="A17" s="2">
        <v>5</v>
      </c>
      <c r="B17" s="27" t="s">
        <v>429</v>
      </c>
      <c r="C17" s="27" t="s">
        <v>429</v>
      </c>
      <c r="D17" s="27" t="s">
        <v>510</v>
      </c>
      <c r="E17" s="27" t="s">
        <v>429</v>
      </c>
      <c r="F17" s="27" t="s">
        <v>429</v>
      </c>
      <c r="G17" s="27" t="s">
        <v>511</v>
      </c>
      <c r="H17" s="27" t="s">
        <v>512</v>
      </c>
    </row>
    <row r="18" spans="1:8">
      <c r="A18" s="2">
        <v>6</v>
      </c>
      <c r="B18" s="27" t="s">
        <v>511</v>
      </c>
      <c r="C18" s="27" t="s">
        <v>509</v>
      </c>
      <c r="D18" s="27" t="s">
        <v>513</v>
      </c>
      <c r="E18" s="27" t="s">
        <v>512</v>
      </c>
      <c r="F18" s="27" t="s">
        <v>514</v>
      </c>
      <c r="G18" s="27" t="s">
        <v>515</v>
      </c>
      <c r="H18" s="27" t="s">
        <v>509</v>
      </c>
    </row>
    <row r="19" spans="1:8">
      <c r="A19" s="2">
        <v>7</v>
      </c>
      <c r="B19" s="27" t="s">
        <v>509</v>
      </c>
      <c r="C19" s="27" t="s">
        <v>510</v>
      </c>
      <c r="D19" s="27" t="s">
        <v>516</v>
      </c>
      <c r="E19" s="27" t="s">
        <v>511</v>
      </c>
      <c r="F19" s="27" t="s">
        <v>511</v>
      </c>
      <c r="G19" s="27" t="s">
        <v>509</v>
      </c>
      <c r="H19" s="27" t="s">
        <v>510</v>
      </c>
    </row>
    <row r="20" spans="1:8">
      <c r="A20" s="2">
        <v>8</v>
      </c>
      <c r="B20" s="27" t="s">
        <v>510</v>
      </c>
      <c r="C20" s="27" t="s">
        <v>513</v>
      </c>
      <c r="D20" s="27" t="s">
        <v>517</v>
      </c>
      <c r="E20" s="27" t="s">
        <v>509</v>
      </c>
      <c r="F20" s="27" t="s">
        <v>509</v>
      </c>
      <c r="G20" s="27" t="s">
        <v>510</v>
      </c>
      <c r="H20" s="27" t="s">
        <v>513</v>
      </c>
    </row>
    <row r="21" spans="1:8">
      <c r="A21" s="2">
        <v>9</v>
      </c>
      <c r="B21" s="27" t="s">
        <v>513</v>
      </c>
      <c r="C21" s="27" t="s">
        <v>516</v>
      </c>
      <c r="D21" s="27" t="s">
        <v>518</v>
      </c>
      <c r="E21" s="27" t="s">
        <v>510</v>
      </c>
      <c r="F21" s="27" t="s">
        <v>510</v>
      </c>
      <c r="G21" s="27" t="s">
        <v>513</v>
      </c>
      <c r="H21" s="27" t="s">
        <v>516</v>
      </c>
    </row>
    <row r="22" spans="1:8">
      <c r="A22" s="2">
        <v>10</v>
      </c>
      <c r="B22" s="27" t="s">
        <v>516</v>
      </c>
      <c r="C22" s="27" t="s">
        <v>517</v>
      </c>
      <c r="D22" s="27" t="s">
        <v>519</v>
      </c>
      <c r="E22" s="27" t="s">
        <v>513</v>
      </c>
      <c r="F22" s="27" t="s">
        <v>513</v>
      </c>
      <c r="G22" s="27" t="s">
        <v>516</v>
      </c>
      <c r="H22" s="27" t="s">
        <v>517</v>
      </c>
    </row>
    <row r="23" spans="1:8">
      <c r="A23" s="2">
        <v>11</v>
      </c>
      <c r="B23" s="27" t="s">
        <v>517</v>
      </c>
      <c r="C23" s="27" t="s">
        <v>518</v>
      </c>
      <c r="D23" s="27" t="s">
        <v>520</v>
      </c>
      <c r="E23" s="27" t="s">
        <v>516</v>
      </c>
      <c r="F23" s="27" t="s">
        <v>516</v>
      </c>
      <c r="G23" s="27" t="s">
        <v>517</v>
      </c>
      <c r="H23" s="27" t="s">
        <v>518</v>
      </c>
    </row>
    <row r="24" spans="1:8">
      <c r="A24" s="2">
        <v>12</v>
      </c>
      <c r="B24" s="27" t="s">
        <v>518</v>
      </c>
      <c r="C24" s="27" t="s">
        <v>519</v>
      </c>
      <c r="D24" s="27" t="s">
        <v>521</v>
      </c>
      <c r="E24" s="27" t="s">
        <v>517</v>
      </c>
      <c r="F24" s="27" t="s">
        <v>517</v>
      </c>
      <c r="G24" s="27" t="s">
        <v>518</v>
      </c>
      <c r="H24" s="27" t="s">
        <v>519</v>
      </c>
    </row>
    <row r="25" spans="1:8">
      <c r="A25" s="2">
        <v>13</v>
      </c>
      <c r="B25" s="27" t="s">
        <v>519</v>
      </c>
      <c r="C25" s="27" t="s">
        <v>520</v>
      </c>
      <c r="D25" s="27" t="s">
        <v>522</v>
      </c>
      <c r="E25" s="27" t="s">
        <v>518</v>
      </c>
      <c r="F25" s="27" t="s">
        <v>518</v>
      </c>
      <c r="G25" s="27" t="s">
        <v>519</v>
      </c>
      <c r="H25" s="27" t="s">
        <v>523</v>
      </c>
    </row>
    <row r="26" spans="1:8">
      <c r="A26" s="2">
        <v>14</v>
      </c>
      <c r="B26" s="27" t="s">
        <v>520</v>
      </c>
      <c r="C26" s="27" t="s">
        <v>521</v>
      </c>
      <c r="D26" s="27" t="s">
        <v>523</v>
      </c>
      <c r="E26" s="27" t="s">
        <v>519</v>
      </c>
      <c r="F26" s="27" t="s">
        <v>519</v>
      </c>
      <c r="G26" s="27" t="s">
        <v>524</v>
      </c>
      <c r="H26" s="27" t="s">
        <v>523</v>
      </c>
    </row>
    <row r="27" spans="1:8">
      <c r="A27" s="2">
        <v>15</v>
      </c>
      <c r="B27" s="27" t="s">
        <v>523</v>
      </c>
      <c r="C27" s="27" t="s">
        <v>523</v>
      </c>
      <c r="D27" s="27" t="s">
        <v>523</v>
      </c>
      <c r="E27" s="27" t="s">
        <v>520</v>
      </c>
      <c r="F27" s="27" t="s">
        <v>525</v>
      </c>
      <c r="G27" s="27" t="s">
        <v>526</v>
      </c>
      <c r="H27" s="27" t="s">
        <v>523</v>
      </c>
    </row>
    <row r="28" spans="1:8">
      <c r="A28" s="2">
        <v>16</v>
      </c>
      <c r="B28" s="27" t="s">
        <v>523</v>
      </c>
      <c r="C28" s="27" t="s">
        <v>523</v>
      </c>
      <c r="D28" s="27" t="s">
        <v>523</v>
      </c>
      <c r="E28" s="27" t="s">
        <v>527</v>
      </c>
      <c r="F28" s="27" t="s">
        <v>528</v>
      </c>
      <c r="G28" s="27" t="s">
        <v>523</v>
      </c>
      <c r="H28" s="27" t="s">
        <v>523</v>
      </c>
    </row>
    <row r="29" spans="1:8">
      <c r="A29" s="2">
        <v>17</v>
      </c>
      <c r="B29" s="27" t="s">
        <v>523</v>
      </c>
      <c r="C29" s="27" t="s">
        <v>523</v>
      </c>
      <c r="D29" s="27" t="s">
        <v>523</v>
      </c>
      <c r="E29" s="27" t="s">
        <v>529</v>
      </c>
      <c r="F29" s="27" t="s">
        <v>530</v>
      </c>
      <c r="G29" s="27" t="s">
        <v>523</v>
      </c>
      <c r="H29" s="27" t="s">
        <v>523</v>
      </c>
    </row>
    <row r="30" spans="1:8">
      <c r="A30" s="2">
        <v>18</v>
      </c>
      <c r="B30" s="27" t="s">
        <v>523</v>
      </c>
      <c r="C30" s="27" t="s">
        <v>523</v>
      </c>
      <c r="D30" s="27" t="s">
        <v>523</v>
      </c>
      <c r="E30" s="27" t="s">
        <v>523</v>
      </c>
      <c r="F30" s="27" t="s">
        <v>531</v>
      </c>
      <c r="G30" s="27" t="s">
        <v>523</v>
      </c>
      <c r="H30" s="27" t="s">
        <v>523</v>
      </c>
    </row>
    <row r="31" spans="1:8">
      <c r="A31" s="2">
        <v>19</v>
      </c>
      <c r="B31" s="27" t="s">
        <v>523</v>
      </c>
      <c r="C31" s="27" t="s">
        <v>523</v>
      </c>
      <c r="D31" s="27" t="s">
        <v>523</v>
      </c>
      <c r="E31" s="27" t="s">
        <v>523</v>
      </c>
      <c r="F31" s="27" t="s">
        <v>521</v>
      </c>
      <c r="G31" s="27" t="s">
        <v>523</v>
      </c>
      <c r="H31" s="27" t="s">
        <v>523</v>
      </c>
    </row>
    <row r="32" spans="1:8">
      <c r="B32" s="27"/>
      <c r="C32" s="27"/>
      <c r="D32" s="27"/>
      <c r="E32" s="27"/>
      <c r="F32" s="27"/>
      <c r="G32" s="27"/>
      <c r="H32" s="27"/>
    </row>
    <row r="33" spans="1:7">
      <c r="A33"/>
      <c r="G33" t="str">
        <f>IFERROR( INDEX(#REF!, MATCH($A33,#REF!, 0),1), "")</f>
        <v/>
      </c>
    </row>
    <row r="34" spans="1:7">
      <c r="A34" s="8" t="s">
        <v>430</v>
      </c>
      <c r="B34" s="10"/>
    </row>
    <row r="35" spans="1:7">
      <c r="B35" t="s">
        <v>431</v>
      </c>
    </row>
    <row r="36" spans="1:7">
      <c r="B36" t="s">
        <v>403</v>
      </c>
    </row>
    <row r="37" spans="1:7">
      <c r="B37" t="s">
        <v>432</v>
      </c>
    </row>
    <row r="39" spans="1:7">
      <c r="A39" s="8" t="s">
        <v>433</v>
      </c>
      <c r="B39" s="10"/>
    </row>
    <row r="40" spans="1:7">
      <c r="B40" s="28">
        <v>9.7144514654701197E-17</v>
      </c>
    </row>
    <row r="41" spans="1:7">
      <c r="B41" s="28">
        <v>4.1666666666666699E-2</v>
      </c>
    </row>
    <row r="42" spans="1:7">
      <c r="B42" s="28">
        <v>8.3333333333333301E-2</v>
      </c>
    </row>
    <row r="43" spans="1:7">
      <c r="B43" s="28">
        <v>0.125</v>
      </c>
    </row>
    <row r="44" spans="1:7">
      <c r="B44" s="28">
        <v>0.16666666666666699</v>
      </c>
    </row>
    <row r="45" spans="1:7">
      <c r="B45" s="28">
        <v>0.20833333333333301</v>
      </c>
    </row>
    <row r="46" spans="1:7">
      <c r="B46" s="28">
        <v>0.25</v>
      </c>
    </row>
    <row r="47" spans="1:7">
      <c r="B47" s="28">
        <v>0.29166666666666702</v>
      </c>
    </row>
    <row r="48" spans="1:7">
      <c r="B48" s="28">
        <v>0.33333333333333298</v>
      </c>
    </row>
    <row r="49" spans="2:2">
      <c r="B49" s="28">
        <v>0.375</v>
      </c>
    </row>
    <row r="50" spans="2:2">
      <c r="B50" s="28">
        <v>0.41666666666666702</v>
      </c>
    </row>
    <row r="51" spans="2:2">
      <c r="B51" s="28">
        <v>0.45833333333333298</v>
      </c>
    </row>
    <row r="52" spans="2:2">
      <c r="B52" s="28">
        <v>0.5</v>
      </c>
    </row>
    <row r="53" spans="2:2">
      <c r="B53" s="28">
        <v>0.54166666666666696</v>
      </c>
    </row>
    <row r="54" spans="2:2">
      <c r="B54" s="28">
        <v>0.58333333333333304</v>
      </c>
    </row>
    <row r="55" spans="2:2">
      <c r="B55" s="28">
        <v>0.625</v>
      </c>
    </row>
    <row r="56" spans="2:2">
      <c r="B56" s="28">
        <v>0.66666666666666696</v>
      </c>
    </row>
    <row r="57" spans="2:2">
      <c r="B57" s="28">
        <v>0.70833333333333304</v>
      </c>
    </row>
    <row r="58" spans="2:2">
      <c r="B58" s="28">
        <v>0.75</v>
      </c>
    </row>
    <row r="59" spans="2:2">
      <c r="B59" s="28">
        <v>0.79166666666666696</v>
      </c>
    </row>
    <row r="60" spans="2:2">
      <c r="B60" s="28">
        <v>0.83333333333333304</v>
      </c>
    </row>
    <row r="61" spans="2:2">
      <c r="B61" s="28">
        <v>0.875</v>
      </c>
    </row>
    <row r="62" spans="2:2">
      <c r="B62" s="28">
        <v>0.91666666666666696</v>
      </c>
    </row>
    <row r="63" spans="2:2">
      <c r="B63" s="28">
        <v>0.95833333333333304</v>
      </c>
    </row>
    <row r="64" spans="2:2">
      <c r="B64" s="28">
        <v>0.999999999999999</v>
      </c>
    </row>
    <row r="65" spans="1:15">
      <c r="A65" s="8" t="s">
        <v>434</v>
      </c>
      <c r="B65" s="10"/>
    </row>
    <row r="66" spans="1:15">
      <c r="B66" s="24">
        <v>1</v>
      </c>
    </row>
    <row r="67" spans="1:15">
      <c r="B67" s="24">
        <v>2</v>
      </c>
    </row>
    <row r="68" spans="1:15">
      <c r="B68" s="24">
        <v>3</v>
      </c>
    </row>
    <row r="69" spans="1:15">
      <c r="B69" s="24">
        <v>4</v>
      </c>
    </row>
    <row r="70" spans="1:15">
      <c r="B70" s="24">
        <v>5</v>
      </c>
    </row>
    <row r="71" spans="1:15">
      <c r="B71" s="24">
        <v>6</v>
      </c>
    </row>
    <row r="72" spans="1:15">
      <c r="B72" s="24">
        <v>7</v>
      </c>
    </row>
    <row r="73" spans="1:15">
      <c r="A73" s="29" t="s">
        <v>435</v>
      </c>
      <c r="B73" s="30" t="s">
        <v>436</v>
      </c>
      <c r="C73" s="31" t="s">
        <v>437</v>
      </c>
      <c r="D73" s="31" t="s">
        <v>438</v>
      </c>
      <c r="E73" s="31" t="s">
        <v>439</v>
      </c>
      <c r="F73" s="31" t="s">
        <v>440</v>
      </c>
      <c r="G73" s="31" t="s">
        <v>441</v>
      </c>
      <c r="H73" s="31" t="s">
        <v>442</v>
      </c>
      <c r="I73" s="31" t="s">
        <v>443</v>
      </c>
      <c r="J73" s="31" t="s">
        <v>444</v>
      </c>
      <c r="K73" s="31" t="s">
        <v>445</v>
      </c>
      <c r="L73" s="31" t="s">
        <v>446</v>
      </c>
      <c r="M73" s="31" t="s">
        <v>447</v>
      </c>
      <c r="N73" s="31" t="s">
        <v>448</v>
      </c>
      <c r="O73" s="32" t="s">
        <v>449</v>
      </c>
    </row>
    <row r="74" spans="1:15">
      <c r="C74" s="31" t="s">
        <v>450</v>
      </c>
      <c r="D74" s="31"/>
      <c r="E74" s="31" t="s">
        <v>451</v>
      </c>
      <c r="F74" s="31"/>
      <c r="G74" s="31" t="s">
        <v>452</v>
      </c>
      <c r="H74" s="31" t="s">
        <v>453</v>
      </c>
      <c r="I74" s="31" t="s">
        <v>454</v>
      </c>
      <c r="J74" s="31" t="s">
        <v>455</v>
      </c>
      <c r="K74" s="31" t="s">
        <v>456</v>
      </c>
      <c r="L74" s="31" t="s">
        <v>457</v>
      </c>
      <c r="M74" s="31"/>
      <c r="N74" s="31" t="s">
        <v>458</v>
      </c>
    </row>
    <row r="75" spans="1:15">
      <c r="C75" s="31" t="s">
        <v>459</v>
      </c>
      <c r="D75" s="31" t="s">
        <v>460</v>
      </c>
      <c r="E75" s="31"/>
      <c r="F75" s="31"/>
      <c r="G75" s="31" t="s">
        <v>461</v>
      </c>
      <c r="H75" s="31"/>
      <c r="I75" s="31"/>
      <c r="J75" s="31"/>
      <c r="K75" s="31" t="s">
        <v>456</v>
      </c>
      <c r="L75" s="31" t="s">
        <v>462</v>
      </c>
      <c r="M75" s="31"/>
      <c r="N75" s="31"/>
    </row>
    <row r="76" spans="1:15">
      <c r="B76" s="2" t="s">
        <v>463</v>
      </c>
      <c r="C76">
        <v>31</v>
      </c>
      <c r="D76">
        <v>28</v>
      </c>
      <c r="E76">
        <v>31</v>
      </c>
      <c r="F76">
        <v>30</v>
      </c>
      <c r="G76">
        <v>31</v>
      </c>
      <c r="H76">
        <v>30</v>
      </c>
      <c r="I76">
        <v>31</v>
      </c>
      <c r="J76">
        <v>31</v>
      </c>
      <c r="K76">
        <v>30</v>
      </c>
      <c r="L76">
        <v>31</v>
      </c>
      <c r="M76">
        <v>30</v>
      </c>
      <c r="N76">
        <v>31</v>
      </c>
      <c r="O76">
        <f>SUM(C76:N76)</f>
        <v>365</v>
      </c>
    </row>
    <row r="77" spans="1:15">
      <c r="B77" s="2" t="s">
        <v>464</v>
      </c>
      <c r="C77">
        <f t="shared" ref="C77:N77" si="1">COUNTA(C74:C75)</f>
        <v>2</v>
      </c>
      <c r="D77">
        <f t="shared" si="1"/>
        <v>1</v>
      </c>
      <c r="E77">
        <f t="shared" si="1"/>
        <v>1</v>
      </c>
      <c r="F77">
        <f t="shared" si="1"/>
        <v>0</v>
      </c>
      <c r="G77">
        <f t="shared" si="1"/>
        <v>2</v>
      </c>
      <c r="H77">
        <f t="shared" si="1"/>
        <v>1</v>
      </c>
      <c r="I77">
        <f t="shared" si="1"/>
        <v>1</v>
      </c>
      <c r="J77">
        <f t="shared" si="1"/>
        <v>1</v>
      </c>
      <c r="K77">
        <f t="shared" si="1"/>
        <v>2</v>
      </c>
      <c r="L77">
        <f t="shared" si="1"/>
        <v>2</v>
      </c>
      <c r="M77">
        <f t="shared" si="1"/>
        <v>0</v>
      </c>
      <c r="N77">
        <f t="shared" si="1"/>
        <v>1</v>
      </c>
      <c r="O77">
        <f>SUM(C77:N77)</f>
        <v>14</v>
      </c>
    </row>
    <row r="78" spans="1:15">
      <c r="B78" s="33">
        <v>7</v>
      </c>
      <c r="C78" s="34">
        <f>$B78/7*C$76</f>
        <v>31</v>
      </c>
      <c r="D78" s="34">
        <f t="shared" ref="D78:N78" si="2">$B78/7*D$76</f>
        <v>28</v>
      </c>
      <c r="E78" s="34">
        <f t="shared" si="2"/>
        <v>31</v>
      </c>
      <c r="F78" s="34">
        <f t="shared" si="2"/>
        <v>30</v>
      </c>
      <c r="G78" s="34">
        <f t="shared" si="2"/>
        <v>31</v>
      </c>
      <c r="H78" s="34">
        <f t="shared" si="2"/>
        <v>30</v>
      </c>
      <c r="I78" s="34">
        <f t="shared" si="2"/>
        <v>31</v>
      </c>
      <c r="J78" s="34">
        <f t="shared" si="2"/>
        <v>31</v>
      </c>
      <c r="K78" s="34">
        <f t="shared" si="2"/>
        <v>30</v>
      </c>
      <c r="L78" s="34">
        <f t="shared" si="2"/>
        <v>31</v>
      </c>
      <c r="M78" s="34">
        <f t="shared" si="2"/>
        <v>30</v>
      </c>
      <c r="N78" s="34">
        <f t="shared" si="2"/>
        <v>31</v>
      </c>
      <c r="O78" s="5">
        <f>SUM(C78:N78)</f>
        <v>365</v>
      </c>
    </row>
    <row r="79" spans="1:15">
      <c r="B79" s="33">
        <v>6</v>
      </c>
      <c r="C79" s="34">
        <f>$B79/7*C$76-C$77</f>
        <v>24.571428571428569</v>
      </c>
      <c r="D79" s="34">
        <f t="shared" ref="D79:N79" si="3">$B79/7*D$76-D$77</f>
        <v>23</v>
      </c>
      <c r="E79" s="34">
        <f t="shared" si="3"/>
        <v>25.571428571428569</v>
      </c>
      <c r="F79" s="34">
        <f t="shared" si="3"/>
        <v>25.714285714285712</v>
      </c>
      <c r="G79" s="34">
        <f t="shared" si="3"/>
        <v>24.571428571428569</v>
      </c>
      <c r="H79" s="34">
        <f t="shared" si="3"/>
        <v>24.714285714285712</v>
      </c>
      <c r="I79" s="34">
        <f t="shared" si="3"/>
        <v>25.571428571428569</v>
      </c>
      <c r="J79" s="34">
        <f t="shared" si="3"/>
        <v>25.571428571428569</v>
      </c>
      <c r="K79" s="34">
        <f t="shared" si="3"/>
        <v>23.714285714285712</v>
      </c>
      <c r="L79" s="34">
        <f t="shared" si="3"/>
        <v>24.571428571428569</v>
      </c>
      <c r="M79" s="34">
        <f t="shared" si="3"/>
        <v>25.714285714285712</v>
      </c>
      <c r="N79" s="34">
        <f t="shared" si="3"/>
        <v>25.571428571428569</v>
      </c>
      <c r="O79" s="5">
        <f t="shared" ref="O79:O85" si="4">SUM(C79:N79)</f>
        <v>298.85714285714283</v>
      </c>
    </row>
    <row r="80" spans="1:15">
      <c r="B80" s="33">
        <v>5.5</v>
      </c>
      <c r="C80" s="34">
        <f t="shared" ref="C80:N85" si="5">$B80/7*C$76-C$77</f>
        <v>22.357142857142858</v>
      </c>
      <c r="D80" s="34">
        <f t="shared" si="5"/>
        <v>21</v>
      </c>
      <c r="E80" s="34">
        <f t="shared" si="5"/>
        <v>23.357142857142858</v>
      </c>
      <c r="F80" s="34">
        <f t="shared" si="5"/>
        <v>23.571428571428569</v>
      </c>
      <c r="G80" s="34">
        <f t="shared" si="5"/>
        <v>22.357142857142858</v>
      </c>
      <c r="H80" s="34">
        <f t="shared" si="5"/>
        <v>22.571428571428569</v>
      </c>
      <c r="I80" s="34">
        <f t="shared" si="5"/>
        <v>23.357142857142858</v>
      </c>
      <c r="J80" s="34">
        <f t="shared" si="5"/>
        <v>23.357142857142858</v>
      </c>
      <c r="K80" s="34">
        <f t="shared" si="5"/>
        <v>21.571428571428569</v>
      </c>
      <c r="L80" s="34">
        <f t="shared" si="5"/>
        <v>22.357142857142858</v>
      </c>
      <c r="M80" s="34">
        <f t="shared" si="5"/>
        <v>23.571428571428569</v>
      </c>
      <c r="N80" s="34">
        <f t="shared" si="5"/>
        <v>23.357142857142858</v>
      </c>
      <c r="O80" s="5">
        <f t="shared" si="4"/>
        <v>272.78571428571428</v>
      </c>
    </row>
    <row r="81" spans="1:15">
      <c r="B81" s="33">
        <v>5</v>
      </c>
      <c r="C81" s="34">
        <f t="shared" si="5"/>
        <v>20.142857142857142</v>
      </c>
      <c r="D81" s="34">
        <f t="shared" si="5"/>
        <v>19</v>
      </c>
      <c r="E81" s="34">
        <f t="shared" si="5"/>
        <v>21.142857142857142</v>
      </c>
      <c r="F81" s="34">
        <f t="shared" si="5"/>
        <v>21.428571428571431</v>
      </c>
      <c r="G81" s="34">
        <f t="shared" si="5"/>
        <v>20.142857142857142</v>
      </c>
      <c r="H81" s="34">
        <f t="shared" si="5"/>
        <v>20.428571428571431</v>
      </c>
      <c r="I81" s="34">
        <f t="shared" si="5"/>
        <v>21.142857142857142</v>
      </c>
      <c r="J81" s="34">
        <f t="shared" si="5"/>
        <v>21.142857142857142</v>
      </c>
      <c r="K81" s="34">
        <f t="shared" si="5"/>
        <v>19.428571428571431</v>
      </c>
      <c r="L81" s="34">
        <f t="shared" si="5"/>
        <v>20.142857142857142</v>
      </c>
      <c r="M81" s="34">
        <f t="shared" si="5"/>
        <v>21.428571428571431</v>
      </c>
      <c r="N81" s="34">
        <f t="shared" si="5"/>
        <v>21.142857142857142</v>
      </c>
      <c r="O81" s="5">
        <f t="shared" si="4"/>
        <v>246.71428571428569</v>
      </c>
    </row>
    <row r="82" spans="1:15">
      <c r="B82" s="33">
        <v>4</v>
      </c>
      <c r="C82" s="34">
        <f t="shared" si="5"/>
        <v>15.714285714285712</v>
      </c>
      <c r="D82" s="34">
        <f t="shared" si="5"/>
        <v>15</v>
      </c>
      <c r="E82" s="34">
        <f t="shared" si="5"/>
        <v>16.714285714285712</v>
      </c>
      <c r="F82" s="34">
        <f t="shared" si="5"/>
        <v>17.142857142857142</v>
      </c>
      <c r="G82" s="34">
        <f t="shared" si="5"/>
        <v>15.714285714285712</v>
      </c>
      <c r="H82" s="34">
        <f t="shared" si="5"/>
        <v>16.142857142857142</v>
      </c>
      <c r="I82" s="34">
        <f t="shared" si="5"/>
        <v>16.714285714285712</v>
      </c>
      <c r="J82" s="34">
        <f t="shared" si="5"/>
        <v>16.714285714285712</v>
      </c>
      <c r="K82" s="34">
        <f t="shared" si="5"/>
        <v>15.142857142857142</v>
      </c>
      <c r="L82" s="34">
        <f t="shared" si="5"/>
        <v>15.714285714285712</v>
      </c>
      <c r="M82" s="34">
        <f t="shared" si="5"/>
        <v>17.142857142857142</v>
      </c>
      <c r="N82" s="34">
        <f t="shared" si="5"/>
        <v>16.714285714285712</v>
      </c>
      <c r="O82" s="5">
        <f t="shared" si="4"/>
        <v>194.57142857142856</v>
      </c>
    </row>
    <row r="83" spans="1:15">
      <c r="B83" s="33">
        <v>3</v>
      </c>
      <c r="C83" s="34">
        <f t="shared" si="5"/>
        <v>11.285714285714285</v>
      </c>
      <c r="D83" s="34">
        <f t="shared" si="5"/>
        <v>11</v>
      </c>
      <c r="E83" s="34">
        <f t="shared" si="5"/>
        <v>12.285714285714285</v>
      </c>
      <c r="F83" s="34">
        <f t="shared" si="5"/>
        <v>12.857142857142856</v>
      </c>
      <c r="G83" s="34">
        <f t="shared" si="5"/>
        <v>11.285714285714285</v>
      </c>
      <c r="H83" s="34">
        <f t="shared" si="5"/>
        <v>11.857142857142856</v>
      </c>
      <c r="I83" s="34">
        <f t="shared" si="5"/>
        <v>12.285714285714285</v>
      </c>
      <c r="J83" s="34">
        <f t="shared" si="5"/>
        <v>12.285714285714285</v>
      </c>
      <c r="K83" s="34">
        <f t="shared" si="5"/>
        <v>10.857142857142856</v>
      </c>
      <c r="L83" s="34">
        <f t="shared" si="5"/>
        <v>11.285714285714285</v>
      </c>
      <c r="M83" s="34">
        <f t="shared" si="5"/>
        <v>12.857142857142856</v>
      </c>
      <c r="N83" s="34">
        <f t="shared" si="5"/>
        <v>12.285714285714285</v>
      </c>
      <c r="O83" s="5">
        <f t="shared" si="4"/>
        <v>142.42857142857142</v>
      </c>
    </row>
    <row r="84" spans="1:15">
      <c r="B84" s="33">
        <v>2</v>
      </c>
      <c r="C84" s="34">
        <f t="shared" si="5"/>
        <v>6.8571428571428559</v>
      </c>
      <c r="D84" s="34">
        <f t="shared" si="5"/>
        <v>7</v>
      </c>
      <c r="E84" s="34">
        <f t="shared" si="5"/>
        <v>7.8571428571428559</v>
      </c>
      <c r="F84" s="34">
        <f t="shared" si="5"/>
        <v>8.5714285714285712</v>
      </c>
      <c r="G84" s="34">
        <f t="shared" si="5"/>
        <v>6.8571428571428559</v>
      </c>
      <c r="H84" s="34">
        <f t="shared" si="5"/>
        <v>7.5714285714285712</v>
      </c>
      <c r="I84" s="34">
        <f t="shared" si="5"/>
        <v>7.8571428571428559</v>
      </c>
      <c r="J84" s="34">
        <f t="shared" si="5"/>
        <v>7.8571428571428559</v>
      </c>
      <c r="K84" s="34">
        <f t="shared" si="5"/>
        <v>6.5714285714285712</v>
      </c>
      <c r="L84" s="34">
        <f t="shared" si="5"/>
        <v>6.8571428571428559</v>
      </c>
      <c r="M84" s="34">
        <f t="shared" si="5"/>
        <v>8.5714285714285712</v>
      </c>
      <c r="N84" s="34">
        <f t="shared" si="5"/>
        <v>7.8571428571428559</v>
      </c>
      <c r="O84" s="5">
        <f t="shared" si="4"/>
        <v>90.285714285714278</v>
      </c>
    </row>
    <row r="85" spans="1:15">
      <c r="B85" s="33">
        <v>1</v>
      </c>
      <c r="C85" s="34">
        <f t="shared" si="5"/>
        <v>2.4285714285714279</v>
      </c>
      <c r="D85" s="34">
        <f t="shared" si="5"/>
        <v>3</v>
      </c>
      <c r="E85" s="34">
        <f t="shared" si="5"/>
        <v>3.4285714285714279</v>
      </c>
      <c r="F85" s="34">
        <f t="shared" si="5"/>
        <v>4.2857142857142856</v>
      </c>
      <c r="G85" s="34">
        <f t="shared" si="5"/>
        <v>2.4285714285714279</v>
      </c>
      <c r="H85" s="34">
        <f t="shared" si="5"/>
        <v>3.2857142857142856</v>
      </c>
      <c r="I85" s="34">
        <f t="shared" si="5"/>
        <v>3.4285714285714279</v>
      </c>
      <c r="J85" s="34">
        <f t="shared" si="5"/>
        <v>3.4285714285714279</v>
      </c>
      <c r="K85" s="34">
        <f t="shared" si="5"/>
        <v>2.2857142857142856</v>
      </c>
      <c r="L85" s="34">
        <f t="shared" si="5"/>
        <v>2.4285714285714279</v>
      </c>
      <c r="M85" s="34">
        <f t="shared" si="5"/>
        <v>4.2857142857142856</v>
      </c>
      <c r="N85" s="34">
        <f t="shared" si="5"/>
        <v>3.4285714285714279</v>
      </c>
      <c r="O85" s="5">
        <f t="shared" si="4"/>
        <v>38.142857142857139</v>
      </c>
    </row>
    <row r="87" spans="1:15">
      <c r="A87" s="8" t="s">
        <v>465</v>
      </c>
      <c r="B87" s="10"/>
    </row>
    <row r="88" spans="1:15">
      <c r="B88" s="2" t="s">
        <v>466</v>
      </c>
    </row>
    <row r="89" spans="1:15">
      <c r="B89" s="2" t="s">
        <v>467</v>
      </c>
    </row>
    <row r="90" spans="1:15">
      <c r="B90" s="2" t="s">
        <v>468</v>
      </c>
    </row>
    <row r="92" spans="1:15">
      <c r="A92" s="8" t="s">
        <v>469</v>
      </c>
      <c r="B92" s="10"/>
    </row>
    <row r="93" spans="1:15">
      <c r="B93" s="35" t="s">
        <v>470</v>
      </c>
    </row>
    <row r="94" spans="1:15">
      <c r="B94" s="36" t="s">
        <v>471</v>
      </c>
    </row>
    <row r="95" spans="1:15">
      <c r="B95" s="36" t="s">
        <v>472</v>
      </c>
    </row>
    <row r="96" spans="1:15">
      <c r="B96" s="37" t="s">
        <v>473</v>
      </c>
    </row>
    <row r="98" spans="1:2">
      <c r="A98" s="8" t="s">
        <v>474</v>
      </c>
      <c r="B98" s="10"/>
    </row>
    <row r="99" spans="1:2">
      <c r="B99" s="35" t="s">
        <v>470</v>
      </c>
    </row>
    <row r="100" spans="1:2">
      <c r="B100" s="36" t="s">
        <v>471</v>
      </c>
    </row>
    <row r="101" spans="1:2">
      <c r="B101" s="36" t="s">
        <v>472</v>
      </c>
    </row>
    <row r="102" spans="1:2">
      <c r="B102" s="37" t="s">
        <v>473</v>
      </c>
    </row>
    <row r="104" spans="1:2">
      <c r="A104" s="8" t="s">
        <v>475</v>
      </c>
      <c r="B104" s="10"/>
    </row>
    <row r="105" spans="1:2">
      <c r="B105" s="38" t="s">
        <v>431</v>
      </c>
    </row>
    <row r="106" spans="1:2">
      <c r="B106" s="38" t="s">
        <v>403</v>
      </c>
    </row>
    <row r="107" spans="1:2">
      <c r="B107" s="38" t="s">
        <v>432</v>
      </c>
    </row>
    <row r="108" spans="1:2">
      <c r="B108" s="38" t="s">
        <v>476</v>
      </c>
    </row>
    <row r="110" spans="1:2">
      <c r="A110" s="8" t="s">
        <v>477</v>
      </c>
      <c r="B110" s="10"/>
    </row>
    <row r="111" spans="1:2">
      <c r="B111" s="38" t="s">
        <v>478</v>
      </c>
    </row>
    <row r="112" spans="1:2">
      <c r="B112" s="38" t="s">
        <v>479</v>
      </c>
    </row>
    <row r="114" spans="1:2">
      <c r="A114" s="8" t="s">
        <v>480</v>
      </c>
      <c r="B114" s="10"/>
    </row>
    <row r="115" spans="1:2">
      <c r="B115" s="38" t="s">
        <v>481</v>
      </c>
    </row>
    <row r="116" spans="1:2">
      <c r="B116" s="38" t="s">
        <v>482</v>
      </c>
    </row>
    <row r="117" spans="1:2">
      <c r="B117" s="38" t="s">
        <v>483</v>
      </c>
    </row>
    <row r="118" spans="1:2">
      <c r="B118" s="38" t="s">
        <v>484</v>
      </c>
    </row>
    <row r="120" spans="1:2">
      <c r="A120" s="8" t="s">
        <v>485</v>
      </c>
      <c r="B120" s="10"/>
    </row>
    <row r="121" spans="1:2">
      <c r="B121" s="38" t="s">
        <v>486</v>
      </c>
    </row>
    <row r="122" spans="1:2">
      <c r="B122" s="38" t="s">
        <v>487</v>
      </c>
    </row>
    <row r="123" spans="1:2">
      <c r="B123" s="38" t="s">
        <v>488</v>
      </c>
    </row>
    <row r="124" spans="1:2">
      <c r="B124" s="38" t="s">
        <v>489</v>
      </c>
    </row>
    <row r="126" spans="1:2">
      <c r="B126" s="38" t="s">
        <v>370</v>
      </c>
    </row>
    <row r="127" spans="1:2">
      <c r="B127" s="38" t="s">
        <v>490</v>
      </c>
    </row>
    <row r="128" spans="1:2">
      <c r="B128" s="38" t="s">
        <v>491</v>
      </c>
    </row>
    <row r="129" spans="1:2">
      <c r="B129" s="38" t="s">
        <v>492</v>
      </c>
    </row>
    <row r="131" spans="1:2">
      <c r="B131" s="38" t="s">
        <v>493</v>
      </c>
    </row>
    <row r="132" spans="1:2">
      <c r="B132" s="38" t="s">
        <v>494</v>
      </c>
    </row>
    <row r="133" spans="1:2">
      <c r="B133" s="38" t="s">
        <v>491</v>
      </c>
    </row>
    <row r="134" spans="1:2">
      <c r="B134" s="38" t="s">
        <v>492</v>
      </c>
    </row>
    <row r="136" spans="1:2">
      <c r="B136" s="38" t="s">
        <v>495</v>
      </c>
    </row>
    <row r="137" spans="1:2">
      <c r="B137" s="38" t="s">
        <v>496</v>
      </c>
    </row>
    <row r="138" spans="1:2">
      <c r="B138" s="38" t="s">
        <v>497</v>
      </c>
    </row>
    <row r="139" spans="1:2">
      <c r="B139" s="38" t="s">
        <v>492</v>
      </c>
    </row>
    <row r="141" spans="1:2">
      <c r="A141" s="8" t="s">
        <v>498</v>
      </c>
      <c r="B141" s="10"/>
    </row>
    <row r="142" spans="1:2">
      <c r="B142" s="38" t="s">
        <v>499</v>
      </c>
    </row>
    <row r="143" spans="1:2">
      <c r="B143" s="38" t="s">
        <v>500</v>
      </c>
    </row>
    <row r="144" spans="1:2">
      <c r="B144" s="38" t="s">
        <v>501</v>
      </c>
    </row>
    <row r="146" spans="1:2">
      <c r="A146" s="8" t="s">
        <v>502</v>
      </c>
      <c r="B146" s="10"/>
    </row>
    <row r="147" spans="1:2">
      <c r="B147" s="38" t="s">
        <v>503</v>
      </c>
    </row>
    <row r="148" spans="1:2">
      <c r="B148" s="38" t="s">
        <v>504</v>
      </c>
    </row>
  </sheetData>
  <mergeCells count="12">
    <mergeCell ref="A104:B104"/>
    <mergeCell ref="A110:B110"/>
    <mergeCell ref="A114:B114"/>
    <mergeCell ref="A120:B120"/>
    <mergeCell ref="A141:B141"/>
    <mergeCell ref="A146:B146"/>
    <mergeCell ref="A34:B34"/>
    <mergeCell ref="A39:B39"/>
    <mergeCell ref="A65:B65"/>
    <mergeCell ref="A87:B87"/>
    <mergeCell ref="A92:B92"/>
    <mergeCell ref="A98:B98"/>
  </mergeCells>
  <phoneticPr fontId="1" type="noConversion"/>
  <dataValidations count="1">
    <dataValidation type="list" allowBlank="1" showInputMessage="1" showErrorMessage="1" sqref="J12 J14">
      <formula1>INDIRECT($B$12)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C69"/>
  <sheetViews>
    <sheetView topLeftCell="A61" workbookViewId="0">
      <selection activeCell="H36" sqref="H36"/>
    </sheetView>
  </sheetViews>
  <sheetFormatPr defaultRowHeight="16.5"/>
  <cols>
    <col min="1" max="1" width="9" style="2"/>
    <col min="2" max="2" width="21.375" bestFit="1" customWidth="1"/>
  </cols>
  <sheetData>
    <row r="1" spans="1:2" ht="18" customHeight="1"/>
    <row r="2" spans="1:2">
      <c r="A2" s="1" t="s">
        <v>532</v>
      </c>
      <c r="B2" s="1"/>
    </row>
    <row r="3" spans="1:2">
      <c r="A3" s="2">
        <v>1</v>
      </c>
      <c r="B3" s="3" t="s">
        <v>533</v>
      </c>
    </row>
    <row r="4" spans="1:2">
      <c r="A4" s="2">
        <v>2</v>
      </c>
      <c r="B4" s="3" t="s">
        <v>534</v>
      </c>
    </row>
    <row r="5" spans="1:2">
      <c r="A5" s="2">
        <v>3</v>
      </c>
      <c r="B5" s="3" t="s">
        <v>535</v>
      </c>
    </row>
    <row r="6" spans="1:2">
      <c r="A6" s="2">
        <v>4</v>
      </c>
      <c r="B6" s="14" t="s">
        <v>536</v>
      </c>
    </row>
    <row r="7" spans="1:2">
      <c r="A7"/>
    </row>
    <row r="8" spans="1:2">
      <c r="A8" s="1" t="s">
        <v>537</v>
      </c>
      <c r="B8" s="1"/>
    </row>
    <row r="9" spans="1:2">
      <c r="A9" s="2">
        <v>1</v>
      </c>
      <c r="B9" s="4" t="s">
        <v>538</v>
      </c>
    </row>
    <row r="10" spans="1:2">
      <c r="A10" s="2">
        <v>2</v>
      </c>
      <c r="B10" s="4" t="s">
        <v>539</v>
      </c>
    </row>
    <row r="11" spans="1:2">
      <c r="A11" s="2">
        <v>3</v>
      </c>
      <c r="B11" s="14" t="s">
        <v>540</v>
      </c>
    </row>
    <row r="12" spans="1:2">
      <c r="A12" s="2">
        <v>4</v>
      </c>
      <c r="B12" s="14" t="s">
        <v>541</v>
      </c>
    </row>
    <row r="14" spans="1:2">
      <c r="A14" s="1" t="s">
        <v>542</v>
      </c>
      <c r="B14" s="1"/>
    </row>
    <row r="15" spans="1:2">
      <c r="A15" s="2">
        <v>1</v>
      </c>
      <c r="B15" s="4" t="s">
        <v>543</v>
      </c>
    </row>
    <row r="16" spans="1:2">
      <c r="A16" s="2">
        <v>2</v>
      </c>
      <c r="B16" s="4" t="s">
        <v>544</v>
      </c>
    </row>
    <row r="17" spans="1:3">
      <c r="A17" s="2">
        <v>3</v>
      </c>
      <c r="B17" s="14" t="s">
        <v>545</v>
      </c>
    </row>
    <row r="18" spans="1:3">
      <c r="A18" s="2">
        <v>4</v>
      </c>
      <c r="B18" s="14" t="s">
        <v>541</v>
      </c>
    </row>
    <row r="20" spans="1:3">
      <c r="A20" s="1" t="s">
        <v>546</v>
      </c>
      <c r="B20" s="1"/>
    </row>
    <row r="21" spans="1:3">
      <c r="A21" s="2">
        <v>1</v>
      </c>
      <c r="B21" s="4" t="s">
        <v>547</v>
      </c>
    </row>
    <row r="22" spans="1:3">
      <c r="A22" s="2">
        <v>2</v>
      </c>
      <c r="B22" s="4" t="s">
        <v>548</v>
      </c>
    </row>
    <row r="23" spans="1:3">
      <c r="A23" s="2">
        <v>3</v>
      </c>
      <c r="B23" s="14" t="s">
        <v>549</v>
      </c>
    </row>
    <row r="24" spans="1:3">
      <c r="A24" s="2">
        <v>4</v>
      </c>
      <c r="B24" s="14" t="s">
        <v>550</v>
      </c>
    </row>
    <row r="25" spans="1:3">
      <c r="A25" s="2">
        <v>5</v>
      </c>
      <c r="B25" s="14" t="s">
        <v>541</v>
      </c>
    </row>
    <row r="27" spans="1:3">
      <c r="A27" s="1" t="s">
        <v>551</v>
      </c>
      <c r="B27" s="1"/>
    </row>
    <row r="28" spans="1:3">
      <c r="A28" s="2">
        <v>1</v>
      </c>
      <c r="B28" s="4" t="s">
        <v>115</v>
      </c>
      <c r="C28" t="s">
        <v>552</v>
      </c>
    </row>
    <row r="29" spans="1:3">
      <c r="A29" s="2">
        <v>2</v>
      </c>
      <c r="B29" s="4" t="s">
        <v>117</v>
      </c>
      <c r="C29" t="s">
        <v>553</v>
      </c>
    </row>
    <row r="30" spans="1:3">
      <c r="A30" s="2">
        <v>3</v>
      </c>
      <c r="B30" s="17" t="s">
        <v>554</v>
      </c>
      <c r="C30" t="s">
        <v>552</v>
      </c>
    </row>
    <row r="31" spans="1:3">
      <c r="A31" s="2">
        <v>4</v>
      </c>
      <c r="B31" s="17" t="s">
        <v>555</v>
      </c>
      <c r="C31" t="s">
        <v>553</v>
      </c>
    </row>
    <row r="32" spans="1:3">
      <c r="A32" s="2">
        <v>5</v>
      </c>
      <c r="B32" s="14" t="s">
        <v>122</v>
      </c>
    </row>
    <row r="34" spans="1:3">
      <c r="A34" s="1" t="s">
        <v>556</v>
      </c>
      <c r="B34" s="1"/>
    </row>
    <row r="35" spans="1:3">
      <c r="A35" s="2">
        <v>1</v>
      </c>
      <c r="B35" s="4" t="s">
        <v>557</v>
      </c>
    </row>
    <row r="36" spans="1:3">
      <c r="A36" s="2">
        <v>2</v>
      </c>
      <c r="B36" s="4" t="s">
        <v>558</v>
      </c>
      <c r="C36" t="s">
        <v>559</v>
      </c>
    </row>
    <row r="38" spans="1:3">
      <c r="A38" s="1" t="s">
        <v>560</v>
      </c>
      <c r="B38" s="1"/>
    </row>
    <row r="39" spans="1:3">
      <c r="A39" s="2">
        <v>1</v>
      </c>
      <c r="B39" s="4">
        <v>0</v>
      </c>
    </row>
    <row r="40" spans="1:3">
      <c r="A40" s="2">
        <v>2</v>
      </c>
      <c r="B40" s="4">
        <v>30</v>
      </c>
    </row>
    <row r="41" spans="1:3">
      <c r="A41" s="2">
        <v>3</v>
      </c>
      <c r="B41" s="4">
        <v>45</v>
      </c>
    </row>
    <row r="42" spans="1:3">
      <c r="A42" s="2">
        <v>4</v>
      </c>
      <c r="B42" s="4">
        <v>60</v>
      </c>
    </row>
    <row r="43" spans="1:3">
      <c r="A43" s="2">
        <v>5</v>
      </c>
      <c r="B43" s="4">
        <v>80</v>
      </c>
    </row>
    <row r="45" spans="1:3">
      <c r="A45" s="1" t="s">
        <v>561</v>
      </c>
      <c r="B45" s="1"/>
    </row>
    <row r="46" spans="1:3">
      <c r="A46" s="2">
        <v>1</v>
      </c>
      <c r="B46" s="4" t="s">
        <v>562</v>
      </c>
    </row>
    <row r="47" spans="1:3">
      <c r="A47" s="2">
        <v>2</v>
      </c>
      <c r="B47" s="4" t="s">
        <v>563</v>
      </c>
    </row>
    <row r="48" spans="1:3">
      <c r="A48" s="2">
        <v>3</v>
      </c>
      <c r="B48" s="14" t="s">
        <v>564</v>
      </c>
    </row>
    <row r="52" spans="1:2">
      <c r="A52" s="18" t="s">
        <v>565</v>
      </c>
      <c r="B52" s="18" t="s">
        <v>566</v>
      </c>
    </row>
    <row r="53" spans="1:2">
      <c r="A53" s="2" t="s">
        <v>567</v>
      </c>
      <c r="B53" s="2" t="s">
        <v>568</v>
      </c>
    </row>
    <row r="54" spans="1:2">
      <c r="A54" s="2" t="s">
        <v>569</v>
      </c>
      <c r="B54" s="2" t="s">
        <v>570</v>
      </c>
    </row>
    <row r="55" spans="1:2">
      <c r="A55" s="2" t="s">
        <v>571</v>
      </c>
      <c r="B55" s="2" t="s">
        <v>572</v>
      </c>
    </row>
    <row r="56" spans="1:2">
      <c r="A56" s="2" t="s">
        <v>573</v>
      </c>
      <c r="B56" s="2" t="s">
        <v>574</v>
      </c>
    </row>
    <row r="57" spans="1:2">
      <c r="A57" s="2" t="s">
        <v>575</v>
      </c>
      <c r="B57" s="2" t="s">
        <v>576</v>
      </c>
    </row>
    <row r="58" spans="1:2">
      <c r="A58" s="2" t="s">
        <v>577</v>
      </c>
      <c r="B58" s="2" t="s">
        <v>578</v>
      </c>
    </row>
    <row r="61" spans="1:2">
      <c r="A61" s="1" t="s">
        <v>579</v>
      </c>
      <c r="B61" s="1"/>
    </row>
    <row r="62" spans="1:2">
      <c r="A62" s="2">
        <v>1</v>
      </c>
      <c r="B62" s="4" t="s">
        <v>147</v>
      </c>
    </row>
    <row r="63" spans="1:2">
      <c r="A63" s="2">
        <v>2</v>
      </c>
      <c r="B63" s="4" t="s">
        <v>148</v>
      </c>
    </row>
    <row r="64" spans="1:2">
      <c r="A64" s="2">
        <v>3</v>
      </c>
      <c r="B64" s="4" t="s">
        <v>149</v>
      </c>
    </row>
    <row r="65" spans="1:2">
      <c r="A65" s="2">
        <v>4</v>
      </c>
      <c r="B65" s="4" t="s">
        <v>150</v>
      </c>
    </row>
    <row r="66" spans="1:2">
      <c r="A66" s="2">
        <v>5</v>
      </c>
      <c r="B66" s="4" t="s">
        <v>151</v>
      </c>
    </row>
    <row r="67" spans="1:2">
      <c r="A67" s="2">
        <v>6</v>
      </c>
      <c r="B67" s="4" t="s">
        <v>152</v>
      </c>
    </row>
    <row r="68" spans="1:2">
      <c r="A68" s="2">
        <v>7</v>
      </c>
      <c r="B68" s="4" t="s">
        <v>153</v>
      </c>
    </row>
    <row r="69" spans="1:2">
      <c r="A69" s="2">
        <v>8</v>
      </c>
      <c r="B69" s="4" t="s">
        <v>154</v>
      </c>
    </row>
  </sheetData>
  <mergeCells count="9">
    <mergeCell ref="A38:B38"/>
    <mergeCell ref="A45:B45"/>
    <mergeCell ref="A61:B61"/>
    <mergeCell ref="A2:B2"/>
    <mergeCell ref="A8:B8"/>
    <mergeCell ref="A14:B14"/>
    <mergeCell ref="A20:B20"/>
    <mergeCell ref="A27:B27"/>
    <mergeCell ref="A34:B3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메인index</vt:lpstr>
      <vt:lpstr>건물index</vt:lpstr>
      <vt:lpstr>커튼월index</vt:lpstr>
      <vt:lpstr>외벽index</vt:lpstr>
      <vt:lpstr>지붕index</vt:lpstr>
      <vt:lpstr>바닥index</vt:lpstr>
      <vt:lpstr>창호index</vt:lpstr>
      <vt:lpstr>출입문index</vt:lpstr>
      <vt:lpstr>외피index</vt:lpstr>
      <vt:lpstr>존일반index</vt:lpstr>
      <vt:lpstr>음영차양index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2023-05-10T09:35:41Z</dcterms:created>
  <dcterms:modified xsi:type="dcterms:W3CDTF">2023-05-10T09:44:34Z</dcterms:modified>
</cp:coreProperties>
</file>