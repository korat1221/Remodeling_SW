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7050" activeTab="3"/>
  </bookViews>
  <sheets>
    <sheet name="문" sheetId="1" r:id="rId1"/>
    <sheet name="설치열교" sheetId="2" r:id="rId2"/>
    <sheet name="이미지_문" sheetId="5" r:id="rId3"/>
    <sheet name="이미지_설치열교" sheetId="6" r:id="rId4"/>
    <sheet name="이미지_출입문유형" sheetId="4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6" l="1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D4" i="6"/>
  <c r="C4" i="6"/>
  <c r="B4" i="6"/>
  <c r="A4" i="6"/>
  <c r="D3" i="6"/>
  <c r="C3" i="6"/>
  <c r="B3" i="6"/>
  <c r="A3" i="6"/>
  <c r="B2" i="6"/>
  <c r="C2" i="6"/>
  <c r="D2" i="6"/>
  <c r="A2" i="6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B2" i="5"/>
  <c r="C2" i="5"/>
  <c r="D2" i="5"/>
  <c r="E2" i="5"/>
  <c r="F2" i="5"/>
  <c r="G2" i="5"/>
  <c r="A2" i="5"/>
  <c r="B6" i="4"/>
  <c r="B4" i="4"/>
  <c r="B2" i="4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<sst xmlns="http://schemas.openxmlformats.org/spreadsheetml/2006/main" count="179" uniqueCount="101">
  <si>
    <t>번호</t>
    <phoneticPr fontId="2" type="noConversion"/>
  </si>
  <si>
    <t>제품명</t>
    <phoneticPr fontId="2" type="noConversion"/>
  </si>
  <si>
    <t>제조사</t>
    <phoneticPr fontId="2" type="noConversion"/>
  </si>
  <si>
    <t>문짝 종류</t>
    <phoneticPr fontId="2" type="noConversion"/>
  </si>
  <si>
    <t>문짝내부</t>
    <phoneticPr fontId="2" type="noConversion"/>
  </si>
  <si>
    <t>문틀
상부열관류율</t>
    <phoneticPr fontId="2" type="noConversion"/>
  </si>
  <si>
    <t>문틀
하부열관류율</t>
    <phoneticPr fontId="2" type="noConversion"/>
  </si>
  <si>
    <t>문틀두께</t>
    <phoneticPr fontId="2" type="noConversion"/>
  </si>
  <si>
    <t xml:space="preserve"> 문짝열관류율</t>
    <phoneticPr fontId="2" type="noConversion"/>
  </si>
  <si>
    <t>간격</t>
    <phoneticPr fontId="2" type="noConversion"/>
  </si>
  <si>
    <t>선형열관류율</t>
    <phoneticPr fontId="2" type="noConversion"/>
  </si>
  <si>
    <t>추가열교
가산치</t>
    <phoneticPr fontId="2" type="noConversion"/>
  </si>
  <si>
    <t>문(표준)
열관류율</t>
    <phoneticPr fontId="2" type="noConversion"/>
  </si>
  <si>
    <t>DB유형</t>
    <phoneticPr fontId="2" type="noConversion"/>
  </si>
  <si>
    <t>표준_001</t>
    <phoneticPr fontId="2" type="noConversion"/>
  </si>
  <si>
    <t>D_WOOD1</t>
    <phoneticPr fontId="2" type="noConversion"/>
  </si>
  <si>
    <t>IPAZEB</t>
  </si>
  <si>
    <t>목재문</t>
  </si>
  <si>
    <t>공기</t>
  </si>
  <si>
    <t>목재</t>
  </si>
  <si>
    <t>표준_002</t>
  </si>
  <si>
    <t>D_WOOD2</t>
  </si>
  <si>
    <t>단열재</t>
  </si>
  <si>
    <t>표준_003</t>
  </si>
  <si>
    <t>D_STEEL1</t>
    <phoneticPr fontId="2" type="noConversion"/>
  </si>
  <si>
    <t>철문</t>
  </si>
  <si>
    <t>표준_004</t>
  </si>
  <si>
    <t>D_STEEL2</t>
  </si>
  <si>
    <t>시멘트몰탈</t>
  </si>
  <si>
    <t>표준_005</t>
  </si>
  <si>
    <t>D_STEEL3</t>
  </si>
  <si>
    <t>표준_006</t>
  </si>
  <si>
    <t>D_STEEL4</t>
  </si>
  <si>
    <t>표준_007</t>
  </si>
  <si>
    <t>D_STEEL5</t>
  </si>
  <si>
    <t>표준_008</t>
  </si>
  <si>
    <t>D_STEEL6</t>
  </si>
  <si>
    <t>표준_009</t>
    <phoneticPr fontId="2" type="noConversion"/>
  </si>
  <si>
    <t>D_INSUL1</t>
    <phoneticPr fontId="2" type="noConversion"/>
  </si>
  <si>
    <t>IPAZEB</t>
    <phoneticPr fontId="2" type="noConversion"/>
  </si>
  <si>
    <t>단열문</t>
  </si>
  <si>
    <t>기호</t>
    <phoneticPr fontId="2" type="noConversion"/>
  </si>
  <si>
    <t>단위</t>
    <phoneticPr fontId="2" type="noConversion"/>
  </si>
  <si>
    <r>
      <rPr>
        <sz val="9"/>
        <color theme="1"/>
        <rFont val="Calibri"/>
        <family val="3"/>
        <charset val="161"/>
      </rPr>
      <t>Ψ</t>
    </r>
    <r>
      <rPr>
        <vertAlign val="subscript"/>
        <sz val="9"/>
        <color theme="1"/>
        <rFont val="맑은 고딕"/>
        <family val="3"/>
        <charset val="129"/>
        <scheme val="major"/>
      </rPr>
      <t>over</t>
    </r>
    <r>
      <rPr>
        <sz val="9"/>
        <color theme="1"/>
        <rFont val="맑은 고딕"/>
        <family val="3"/>
        <charset val="129"/>
        <scheme val="major"/>
      </rPr>
      <t/>
    </r>
    <phoneticPr fontId="2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</si>
  <si>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o</t>
    </r>
    <phoneticPr fontId="2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</si>
  <si>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design</t>
    </r>
    <r>
      <rPr>
        <sz val="9"/>
        <color theme="1"/>
        <rFont val="맑은 고딕"/>
        <family val="3"/>
        <charset val="129"/>
        <scheme val="major"/>
      </rPr>
      <t/>
    </r>
    <phoneticPr fontId="2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</si>
  <si>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stud</t>
    </r>
    <phoneticPr fontId="2" type="noConversion"/>
  </si>
  <si>
    <r>
      <rPr>
        <sz val="9"/>
        <color theme="1"/>
        <rFont val="Calibri"/>
        <family val="3"/>
        <charset val="161"/>
      </rPr>
      <t>Ψ</t>
    </r>
    <r>
      <rPr>
        <vertAlign val="subscript"/>
        <sz val="9"/>
        <color theme="1"/>
        <rFont val="맑은 고딕"/>
        <family val="3"/>
        <charset val="129"/>
        <scheme val="major"/>
      </rPr>
      <t>o</t>
    </r>
    <phoneticPr fontId="2" type="noConversion"/>
  </si>
  <si>
    <r>
      <rPr>
        <sz val="9"/>
        <color theme="1"/>
        <rFont val="Calibri"/>
        <family val="3"/>
        <charset val="161"/>
      </rPr>
      <t>Δ</t>
    </r>
    <r>
      <rPr>
        <sz val="9"/>
        <color theme="1"/>
        <rFont val="맑은 고딕"/>
        <family val="3"/>
        <charset val="129"/>
        <scheme val="major"/>
      </rPr>
      <t>U</t>
    </r>
    <phoneticPr fontId="2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</si>
  <si>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o</t>
    </r>
    <r>
      <rPr>
        <sz val="9"/>
        <color theme="1"/>
        <rFont val="맑은 고딕"/>
        <family val="3"/>
        <charset val="129"/>
        <scheme val="major"/>
      </rPr>
      <t/>
    </r>
    <phoneticPr fontId="2" type="noConversion"/>
  </si>
  <si>
    <r>
      <t>[W/m</t>
    </r>
    <r>
      <rPr>
        <sz val="9"/>
        <color theme="1"/>
        <rFont val="맑은 고딕"/>
        <family val="3"/>
        <charset val="129"/>
      </rPr>
      <t>∙</t>
    </r>
    <r>
      <rPr>
        <sz val="9"/>
        <color theme="1"/>
        <rFont val="맑은 고딕"/>
        <family val="3"/>
        <charset val="129"/>
        <scheme val="major"/>
      </rPr>
      <t>K]</t>
    </r>
    <phoneticPr fontId="2" type="noConversion"/>
  </si>
  <si>
    <t>[W/m∙K]</t>
    <phoneticPr fontId="2" type="noConversion"/>
  </si>
  <si>
    <t>[mm]</t>
    <phoneticPr fontId="2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</si>
  <si>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2" type="noConversion"/>
  </si>
  <si>
    <t>[mm]</t>
    <phoneticPr fontId="2" type="noConversion"/>
  </si>
  <si>
    <t>[W/m∙K]</t>
    <phoneticPr fontId="2" type="noConversion"/>
  </si>
  <si>
    <r>
      <rPr>
        <sz val="9"/>
        <color theme="1"/>
        <rFont val="맑은 고딕"/>
        <family val="3"/>
        <charset val="129"/>
        <scheme val="major"/>
      </rP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2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</si>
  <si>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2" type="noConversion"/>
  </si>
  <si>
    <r>
      <rPr>
        <sz val="9"/>
        <color theme="1"/>
        <rFont val="Calibri"/>
        <family val="3"/>
        <charset val="161"/>
      </rPr>
      <t>Ψ</t>
    </r>
    <r>
      <rPr>
        <vertAlign val="subscript"/>
        <sz val="9"/>
        <color theme="1"/>
        <rFont val="맑은 고딕"/>
        <family val="3"/>
        <charset val="129"/>
        <scheme val="major"/>
      </rPr>
      <t>bottom</t>
    </r>
    <phoneticPr fontId="2" type="noConversion"/>
  </si>
  <si>
    <t>표준</t>
    <phoneticPr fontId="2" type="noConversion"/>
  </si>
  <si>
    <t>유리면적</t>
    <phoneticPr fontId="2" type="noConversion"/>
  </si>
  <si>
    <t>SHGC</t>
    <phoneticPr fontId="2" type="noConversion"/>
  </si>
  <si>
    <t>문틀내부</t>
    <phoneticPr fontId="2" type="noConversion"/>
  </si>
  <si>
    <t>-</t>
    <phoneticPr fontId="2" type="noConversion"/>
  </si>
  <si>
    <r>
      <rPr>
        <sz val="9"/>
        <color theme="1"/>
        <rFont val="맑은 고딕"/>
        <family val="3"/>
        <charset val="129"/>
      </rPr>
      <t>A</t>
    </r>
    <r>
      <rPr>
        <vertAlign val="subscript"/>
        <sz val="9"/>
        <color theme="1"/>
        <rFont val="맑은 고딕"/>
        <family val="3"/>
        <charset val="129"/>
        <scheme val="major"/>
      </rPr>
      <t>g</t>
    </r>
    <r>
      <rPr>
        <sz val="9"/>
        <color theme="1"/>
        <rFont val="맑은 고딕"/>
        <family val="3"/>
        <charset val="129"/>
        <scheme val="major"/>
      </rPr>
      <t/>
    </r>
    <phoneticPr fontId="2" type="noConversion"/>
  </si>
  <si>
    <t>[-]</t>
    <phoneticPr fontId="2" type="noConversion"/>
  </si>
  <si>
    <t>번호</t>
    <phoneticPr fontId="2" type="noConversion"/>
  </si>
  <si>
    <t>제품명</t>
    <phoneticPr fontId="2" type="noConversion"/>
  </si>
  <si>
    <t>구분1</t>
    <phoneticPr fontId="2" type="noConversion"/>
  </si>
  <si>
    <t>구분2</t>
    <phoneticPr fontId="2" type="noConversion"/>
  </si>
  <si>
    <t>상부설치
선형열관류율</t>
    <phoneticPr fontId="2" type="noConversion"/>
  </si>
  <si>
    <t>측면설치
선형열관류율</t>
    <phoneticPr fontId="2" type="noConversion"/>
  </si>
  <si>
    <t>하부설치
선형열관류율</t>
    <phoneticPr fontId="2" type="noConversion"/>
  </si>
  <si>
    <t>DIS_001</t>
    <phoneticPr fontId="2" type="noConversion"/>
  </si>
  <si>
    <t>내단열</t>
  </si>
  <si>
    <t>외부측</t>
  </si>
  <si>
    <t>DIS_002</t>
  </si>
  <si>
    <t>내부측</t>
  </si>
  <si>
    <t>DIS_003</t>
  </si>
  <si>
    <t>외단열</t>
  </si>
  <si>
    <t>DIS_004</t>
  </si>
  <si>
    <t>DIS_005</t>
  </si>
  <si>
    <t>목구조</t>
  </si>
  <si>
    <t>DIS_006</t>
  </si>
  <si>
    <t>DIS_007</t>
  </si>
  <si>
    <t>경량철골조</t>
  </si>
  <si>
    <t>DIS_008</t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</si>
  <si>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fix</t>
    </r>
    <r>
      <rPr>
        <sz val="9"/>
        <rFont val="맑은 고딕"/>
        <family val="3"/>
        <charset val="129"/>
        <scheme val="minor"/>
      </rPr>
      <t/>
    </r>
    <phoneticPr fontId="2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</si>
  <si>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r>
      <rPr>
        <sz val="9"/>
        <rFont val="맑은 고딕"/>
        <family val="3"/>
        <charset val="129"/>
        <scheme val="minor"/>
      </rPr>
      <t/>
    </r>
    <phoneticPr fontId="2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</si>
  <si>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r>
      <rPr>
        <sz val="9"/>
        <rFont val="맑은 고딕"/>
        <family val="3"/>
        <charset val="129"/>
        <scheme val="minor"/>
      </rPr>
      <t/>
    </r>
    <phoneticPr fontId="2" type="noConversion"/>
  </si>
  <si>
    <t>[W/m·K]</t>
    <phoneticPr fontId="2" type="noConversion"/>
  </si>
  <si>
    <t>[W/m·K]</t>
    <phoneticPr fontId="2" type="noConversion"/>
  </si>
  <si>
    <t>[W/m·K]</t>
    <phoneticPr fontId="2" type="noConversion"/>
  </si>
  <si>
    <t>기호</t>
    <phoneticPr fontId="2" type="noConversion"/>
  </si>
  <si>
    <t>단위</t>
    <phoneticPr fontId="2" type="noConversion"/>
  </si>
  <si>
    <t>출입문 유형</t>
    <phoneticPr fontId="2" type="noConversion"/>
  </si>
  <si>
    <t>출입문 유형</t>
    <phoneticPr fontId="2" type="noConversion"/>
  </si>
  <si>
    <t>표준</t>
    <phoneticPr fontId="2" type="noConversion"/>
  </si>
  <si>
    <t>표준</t>
    <phoneticPr fontId="2" type="noConversion"/>
  </si>
  <si>
    <t>열교유형이미지</t>
    <phoneticPr fontId="2" type="noConversion"/>
  </si>
  <si>
    <t>하부열교유형이미지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</si>
</sst>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00_ "/>
  </numFmts>
  <fonts count="20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vertAlign val="subscript"/>
      <sz val="9"/>
      <color theme="1"/>
      <name val="맑은 고딕"/>
      <family val="3"/>
      <charset val="129"/>
      <scheme val="major"/>
    </font>
    <font>
      <vertAlign val="superscript"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61"/>
      <scheme val="major"/>
    </font>
    <font>
      <sz val="9"/>
      <color theme="1"/>
      <name val="Calibri"/>
      <family val="3"/>
      <charset val="161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sz val="9"/>
      <name val="맑은 고딕"/>
      <family val="3"/>
      <charset val="161"/>
      <scheme val="minor"/>
    </font>
    <font>
      <sz val="9"/>
      <name val="Calibri"/>
      <family val="3"/>
      <charset val="161"/>
    </font>
    <font>
      <vertAlign val="subscript"/>
      <sz val="9"/>
      <name val="맑은 고딕"/>
      <family val="3"/>
      <charset val="129"/>
      <scheme val="minor"/>
    </font>
    <font>
      <vertAlign val="subscript"/>
      <sz val="9"/>
      <name val="Calibri"/>
      <family val="3"/>
    </font>
    <font>
      <sz val="9"/>
      <name val="맑은 고딕"/>
      <family val="3"/>
      <charset val="129"/>
      <scheme val="minor"/>
    </font>
    <font>
      <sz val="9"/>
      <name val="Calibri"/>
      <family val="3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theme="1" tint="0.499984740745262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76" fontId="11" fillId="2" borderId="3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77" fontId="12" fillId="3" borderId="3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176" fontId="13" fillId="2" borderId="3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597478</xdr:colOff>
      <xdr:row>0</xdr:row>
      <xdr:rowOff>34636</xdr:rowOff>
    </xdr:from>
    <xdr:to>
      <xdr:col>17</xdr:col>
      <xdr:colOff>0</xdr:colOff>
      <xdr:row>0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 txBox="1"/>
      </xdr:nvSpPr>
      <xdr:spPr>
        <a:xfrm>
          <a:off x="10703503" y="453736"/>
          <a:ext cx="2879147" cy="1565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U</a:t>
          </a:r>
          <a:r>
            <a:rPr lang="en-US" altLang="ko-KR" sz="800" baseline="-25000"/>
            <a:t>over</a:t>
          </a:r>
          <a:r>
            <a:rPr lang="en-US" altLang="ko-KR" sz="800"/>
            <a:t>: </a:t>
          </a:r>
          <a:r>
            <a:rPr lang="ko-KR" altLang="en-US" sz="800"/>
            <a:t>상부와 측면부 문과 문틀 선형열교포함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bottom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하부 문과 문틀 선형열교포함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 두께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/>
            <a:t>U</a:t>
          </a:r>
          <a:r>
            <a:rPr lang="en-US" altLang="ko-KR" sz="800" baseline="-25000"/>
            <a:t>design</a:t>
          </a:r>
          <a:r>
            <a:rPr lang="en-US" altLang="ko-KR" sz="800"/>
            <a:t>: </a:t>
          </a:r>
          <a:r>
            <a:rPr lang="ko-KR" altLang="en-US" sz="800"/>
            <a:t>표준값에서 문짝내부 선형열교 미포함된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 내부 구조 보강시 설치 간격</a:t>
          </a: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altLang="ko-KR" sz="800">
              <a:solidFill>
                <a:schemeClr val="dk1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Ψ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문짝내부 구조보강 부위 선형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문짝내부 선형 열교부위 추가 열교 가산치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Uo: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문짝의 유효열관류율</a:t>
          </a:r>
          <a:endParaRPr lang="ko-KR" altLang="en-US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597478</xdr:colOff>
      <xdr:row>0</xdr:row>
      <xdr:rowOff>34636</xdr:rowOff>
    </xdr:from>
    <xdr:to>
      <xdr:col>17</xdr:col>
      <xdr:colOff>0</xdr:colOff>
      <xdr:row>0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 txBox="1"/>
      </xdr:nvSpPr>
      <xdr:spPr>
        <a:xfrm>
          <a:off x="8827078" y="34636"/>
          <a:ext cx="2831522" cy="60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U</a:t>
          </a:r>
          <a:r>
            <a:rPr lang="en-US" altLang="ko-KR" sz="800" baseline="-25000"/>
            <a:t>over</a:t>
          </a:r>
          <a:r>
            <a:rPr lang="en-US" altLang="ko-KR" sz="800"/>
            <a:t>: </a:t>
          </a:r>
          <a:r>
            <a:rPr lang="ko-KR" altLang="en-US" sz="800"/>
            <a:t>상부와 측면부 문과 문틀 선형열교포함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bottom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하부 문과 문틀 선형열교포함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 두께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/>
            <a:t>U</a:t>
          </a:r>
          <a:r>
            <a:rPr lang="en-US" altLang="ko-KR" sz="800" baseline="-25000"/>
            <a:t>design</a:t>
          </a:r>
          <a:r>
            <a:rPr lang="en-US" altLang="ko-KR" sz="800"/>
            <a:t>: </a:t>
          </a:r>
          <a:r>
            <a:rPr lang="ko-KR" altLang="en-US" sz="800"/>
            <a:t>표준값에서 문짝내부 선형열교 미포함된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 내부 구조 보강시 설치 간격</a:t>
          </a: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altLang="ko-KR" sz="800">
              <a:solidFill>
                <a:schemeClr val="dk1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Ψ</a:t>
          </a:r>
          <a:r>
            <a:rPr lang="en-US" altLang="ko-KR" sz="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문짝내부 구조보강 부위 선형 열관류율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문짝내부 선형 열교부위 추가 열교 가산치</a:t>
          </a:r>
          <a:endParaRPr lang="en-US" altLang="ko-K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Uo: </a:t>
          </a:r>
          <a:r>
            <a:rPr lang="ko-KR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문짝의 유효열관류율</a:t>
          </a:r>
          <a:endParaRPr lang="ko-KR" altLang="en-US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1</xdr:row>
      <xdr:rowOff>190500</xdr:rowOff>
    </xdr:from>
    <xdr:to>
      <xdr:col>8</xdr:col>
      <xdr:colOff>2159771</xdr:colOff>
      <xdr:row>1</xdr:row>
      <xdr:rowOff>1123269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476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</xdr:row>
      <xdr:rowOff>190500</xdr:rowOff>
    </xdr:from>
    <xdr:to>
      <xdr:col>8</xdr:col>
      <xdr:colOff>2159771</xdr:colOff>
      <xdr:row>2</xdr:row>
      <xdr:rowOff>1123269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2762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</xdr:row>
      <xdr:rowOff>190500</xdr:rowOff>
    </xdr:from>
    <xdr:to>
      <xdr:col>8</xdr:col>
      <xdr:colOff>2159771</xdr:colOff>
      <xdr:row>3</xdr:row>
      <xdr:rowOff>1123269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91350" y="5048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6</xdr:row>
      <xdr:rowOff>190500</xdr:rowOff>
    </xdr:from>
    <xdr:to>
      <xdr:col>8</xdr:col>
      <xdr:colOff>2159771</xdr:colOff>
      <xdr:row>6</xdr:row>
      <xdr:rowOff>1123269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1350" y="11906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4</xdr:row>
      <xdr:rowOff>190500</xdr:rowOff>
    </xdr:from>
    <xdr:to>
      <xdr:col>8</xdr:col>
      <xdr:colOff>2159771</xdr:colOff>
      <xdr:row>4</xdr:row>
      <xdr:rowOff>1123269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1350" y="7334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7</xdr:row>
      <xdr:rowOff>190500</xdr:rowOff>
    </xdr:from>
    <xdr:to>
      <xdr:col>8</xdr:col>
      <xdr:colOff>2159771</xdr:colOff>
      <xdr:row>7</xdr:row>
      <xdr:rowOff>1123269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91350" y="14192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5</xdr:row>
      <xdr:rowOff>190500</xdr:rowOff>
    </xdr:from>
    <xdr:to>
      <xdr:col>8</xdr:col>
      <xdr:colOff>2159771</xdr:colOff>
      <xdr:row>5</xdr:row>
      <xdr:rowOff>1123269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91350" y="9620250"/>
          <a:ext cx="3026546" cy="93276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8</xdr:row>
      <xdr:rowOff>190500</xdr:rowOff>
    </xdr:from>
    <xdr:to>
      <xdr:col>8</xdr:col>
      <xdr:colOff>2159771</xdr:colOff>
      <xdr:row>8</xdr:row>
      <xdr:rowOff>1123269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91350" y="16478250"/>
          <a:ext cx="3026546" cy="932769"/>
        </a:xfrm>
        <a:prstGeom prst="rect">
          <a:avLst/>
        </a:prstGeom>
      </xdr:spPr>
    </xdr:pic>
    <xdr:clientData/>
  </xdr:twoCellAnchor>
  <xdr:oneCellAnchor>
    <xdr:from>
      <xdr:col>7</xdr:col>
      <xdr:colOff>95250</xdr:colOff>
      <xdr:row>9</xdr:row>
      <xdr:rowOff>190500</xdr:rowOff>
    </xdr:from>
    <xdr:ext cx="3036071" cy="932769"/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91350" y="18764250"/>
          <a:ext cx="3036071" cy="932769"/>
        </a:xfrm>
        <a:prstGeom prst="rect">
          <a:avLst/>
        </a:prstGeom>
      </xdr:spPr>
    </xdr:pic>
    <xdr:clientData/>
  </xdr:oneCellAnchor>
  <xdr:twoCellAnchor editAs="oneCell">
    <xdr:from>
      <xdr:col>7</xdr:col>
      <xdr:colOff>95250</xdr:colOff>
      <xdr:row>10</xdr:row>
      <xdr:rowOff>190500</xdr:rowOff>
    </xdr:from>
    <xdr:to>
      <xdr:col>8</xdr:col>
      <xdr:colOff>2178821</xdr:colOff>
      <xdr:row>10</xdr:row>
      <xdr:rowOff>1123269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91350" y="21050250"/>
          <a:ext cx="3045596" cy="9327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71436</xdr:colOff>
      <xdr:row>7</xdr:row>
      <xdr:rowOff>47624</xdr:rowOff>
    </xdr:from>
    <xdr:to>
      <xdr:col>5</xdr:col>
      <xdr:colOff>2428590</xdr:colOff>
      <xdr:row>7</xdr:row>
      <xdr:rowOff>913331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3836" y="14049374"/>
          <a:ext cx="3319179" cy="865707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8</xdr:row>
      <xdr:rowOff>47624</xdr:rowOff>
    </xdr:from>
    <xdr:to>
      <xdr:col>5</xdr:col>
      <xdr:colOff>2428590</xdr:colOff>
      <xdr:row>8</xdr:row>
      <xdr:rowOff>919428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3836" y="16335374"/>
          <a:ext cx="3319179" cy="871804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5</xdr:row>
      <xdr:rowOff>47624</xdr:rowOff>
    </xdr:from>
    <xdr:to>
      <xdr:col>5</xdr:col>
      <xdr:colOff>2428590</xdr:colOff>
      <xdr:row>5</xdr:row>
      <xdr:rowOff>919428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3836" y="9477374"/>
          <a:ext cx="3319179" cy="871804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6</xdr:row>
      <xdr:rowOff>47624</xdr:rowOff>
    </xdr:from>
    <xdr:to>
      <xdr:col>5</xdr:col>
      <xdr:colOff>2428590</xdr:colOff>
      <xdr:row>6</xdr:row>
      <xdr:rowOff>919428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53836" y="11763374"/>
          <a:ext cx="3319179" cy="871804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2</xdr:row>
      <xdr:rowOff>47624</xdr:rowOff>
    </xdr:from>
    <xdr:to>
      <xdr:col>6</xdr:col>
      <xdr:colOff>5016</xdr:colOff>
      <xdr:row>2</xdr:row>
      <xdr:rowOff>870655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53836" y="2619374"/>
          <a:ext cx="3337469" cy="823031"/>
        </a:xfrm>
        <a:prstGeom prst="rect">
          <a:avLst/>
        </a:prstGeom>
      </xdr:spPr>
    </xdr:pic>
    <xdr:clientData/>
  </xdr:twoCellAnchor>
  <xdr:twoCellAnchor editAs="oneCell">
    <xdr:from>
      <xdr:col>4</xdr:col>
      <xdr:colOff>95248</xdr:colOff>
      <xdr:row>1</xdr:row>
      <xdr:rowOff>71436</xdr:rowOff>
    </xdr:from>
    <xdr:to>
      <xdr:col>6</xdr:col>
      <xdr:colOff>5811</xdr:colOff>
      <xdr:row>1</xdr:row>
      <xdr:rowOff>1046881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7648" y="357186"/>
          <a:ext cx="3320514" cy="975445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4</xdr:row>
      <xdr:rowOff>47624</xdr:rowOff>
    </xdr:from>
    <xdr:to>
      <xdr:col>5</xdr:col>
      <xdr:colOff>2434687</xdr:colOff>
      <xdr:row>4</xdr:row>
      <xdr:rowOff>870655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53836" y="7191374"/>
          <a:ext cx="3325276" cy="823031"/>
        </a:xfrm>
        <a:prstGeom prst="rect">
          <a:avLst/>
        </a:prstGeom>
      </xdr:spPr>
    </xdr:pic>
    <xdr:clientData/>
  </xdr:twoCellAnchor>
  <xdr:twoCellAnchor editAs="oneCell">
    <xdr:from>
      <xdr:col>4</xdr:col>
      <xdr:colOff>71436</xdr:colOff>
      <xdr:row>3</xdr:row>
      <xdr:rowOff>47624</xdr:rowOff>
    </xdr:from>
    <xdr:to>
      <xdr:col>5</xdr:col>
      <xdr:colOff>2434687</xdr:colOff>
      <xdr:row>3</xdr:row>
      <xdr:rowOff>882848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53836" y="4905374"/>
          <a:ext cx="3325276" cy="83522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1</xdr:row>
      <xdr:rowOff>71436</xdr:rowOff>
    </xdr:from>
    <xdr:to>
      <xdr:col>6</xdr:col>
      <xdr:colOff>2364305</xdr:colOff>
      <xdr:row>1</xdr:row>
      <xdr:rowOff>2217414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3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39974" y="357186"/>
          <a:ext cx="2316681" cy="2145978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5</xdr:row>
      <xdr:rowOff>47624</xdr:rowOff>
    </xdr:from>
    <xdr:to>
      <xdr:col>6</xdr:col>
      <xdr:colOff>2388117</xdr:colOff>
      <xdr:row>5</xdr:row>
      <xdr:rowOff>2193602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63786" y="9477374"/>
          <a:ext cx="2316681" cy="2145978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7</xdr:row>
      <xdr:rowOff>47624</xdr:rowOff>
    </xdr:from>
    <xdr:to>
      <xdr:col>6</xdr:col>
      <xdr:colOff>2388117</xdr:colOff>
      <xdr:row>7</xdr:row>
      <xdr:rowOff>2193602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3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63786" y="14049374"/>
          <a:ext cx="2316681" cy="2145978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6</xdr:row>
      <xdr:rowOff>47624</xdr:rowOff>
    </xdr:from>
    <xdr:to>
      <xdr:col>6</xdr:col>
      <xdr:colOff>2369827</xdr:colOff>
      <xdr:row>6</xdr:row>
      <xdr:rowOff>2254567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63786" y="11763374"/>
          <a:ext cx="2298391" cy="2206943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8</xdr:row>
      <xdr:rowOff>47624</xdr:rowOff>
    </xdr:from>
    <xdr:to>
      <xdr:col>6</xdr:col>
      <xdr:colOff>2369827</xdr:colOff>
      <xdr:row>8</xdr:row>
      <xdr:rowOff>2254567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63786" y="16335374"/>
          <a:ext cx="2298391" cy="2206943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3</xdr:row>
      <xdr:rowOff>47624</xdr:rowOff>
    </xdr:from>
    <xdr:to>
      <xdr:col>6</xdr:col>
      <xdr:colOff>2363731</xdr:colOff>
      <xdr:row>3</xdr:row>
      <xdr:rowOff>2248471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063786" y="4905374"/>
          <a:ext cx="2292295" cy="2200847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4</xdr:row>
      <xdr:rowOff>47624</xdr:rowOff>
    </xdr:from>
    <xdr:to>
      <xdr:col>6</xdr:col>
      <xdr:colOff>2363731</xdr:colOff>
      <xdr:row>4</xdr:row>
      <xdr:rowOff>2260664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063786" y="7191374"/>
          <a:ext cx="2292295" cy="221304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2</xdr:row>
      <xdr:rowOff>47624</xdr:rowOff>
    </xdr:from>
    <xdr:to>
      <xdr:col>6</xdr:col>
      <xdr:colOff>2363731</xdr:colOff>
      <xdr:row>2</xdr:row>
      <xdr:rowOff>2248471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63786" y="2619374"/>
          <a:ext cx="2292295" cy="2200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57150</xdr:rowOff>
    </xdr:from>
    <xdr:to>
      <xdr:col>4</xdr:col>
      <xdr:colOff>533400</xdr:colOff>
      <xdr:row>2</xdr:row>
      <xdr:rowOff>2228850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148" t="1971" r="16792" b="5804"/>
        <a:stretch/>
      </xdr:blipFill>
      <xdr:spPr>
        <a:xfrm>
          <a:off x="2028825" y="342900"/>
          <a:ext cx="2038350" cy="4457700"/>
        </a:xfrm>
        <a:prstGeom prst="rect">
          <a:avLst/>
        </a:prstGeom>
      </xdr:spPr>
    </xdr:pic>
    <xdr:clientData/>
  </xdr:twoCellAnchor>
  <xdr:twoCellAnchor editAs="oneCell">
    <xdr:from>
      <xdr:col>2</xdr:col>
      <xdr:colOff>361949</xdr:colOff>
      <xdr:row>3</xdr:row>
      <xdr:rowOff>57150</xdr:rowOff>
    </xdr:from>
    <xdr:to>
      <xdr:col>4</xdr:col>
      <xdr:colOff>476250</xdr:colOff>
      <xdr:row>4</xdr:row>
      <xdr:rowOff>2190750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362" t="1256" r="12458" b="1673"/>
        <a:stretch/>
      </xdr:blipFill>
      <xdr:spPr>
        <a:xfrm>
          <a:off x="1990724" y="4914900"/>
          <a:ext cx="2019301" cy="4419600"/>
        </a:xfrm>
        <a:prstGeom prst="rect">
          <a:avLst/>
        </a:prstGeom>
      </xdr:spPr>
    </xdr:pic>
    <xdr:clientData/>
  </xdr:twoCellAnchor>
  <xdr:oneCellAnchor>
    <xdr:from>
      <xdr:col>2</xdr:col>
      <xdr:colOff>361949</xdr:colOff>
      <xdr:row>5</xdr:row>
      <xdr:rowOff>57150</xdr:rowOff>
    </xdr:from>
    <xdr:ext cx="2019301" cy="4419600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362" t="1256" r="12458" b="1673"/>
        <a:stretch/>
      </xdr:blipFill>
      <xdr:spPr>
        <a:xfrm>
          <a:off x="1990724" y="9486900"/>
          <a:ext cx="2019301" cy="4419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.%20&#50672;&#44396;&#44284;&#51228;/54.%20&#44592;&#51316;&#44148;&#47932;&#50640;&#45320;&#51648;&#47532;&#47784;&#45944;&#47553;/04.4&#52264;&#45380;&#46020;/03.&#49892;&#51613;&#44148;&#47932;/02.&#54868;&#44257;119/&#51089;&#50629;/&#51089;&#50629;_ver8/1.&#50836;&#44396;&#47049;Tool_ve3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"/>
      <sheetName val="건물정보"/>
      <sheetName val="건물정보생성"/>
      <sheetName val="메인index"/>
      <sheetName val="건물index"/>
      <sheetName val="커튼월리스트"/>
      <sheetName val="구조체_커튼월"/>
      <sheetName val="커튼월추가정보"/>
      <sheetName val="커튼월생성"/>
      <sheetName val="커튼월입력"/>
      <sheetName val="커튼월index"/>
      <sheetName val="커튼월치수정보"/>
      <sheetName val="커튼월자재DB"/>
      <sheetName val="커튼월자재이미지"/>
      <sheetName val="외벽리스트"/>
      <sheetName val="구조체_외벽"/>
      <sheetName val="열교_외벽"/>
      <sheetName val="외벽생성"/>
      <sheetName val="외벽index"/>
      <sheetName val="외벽열교DB"/>
      <sheetName val="외벽열교이미지"/>
      <sheetName val="지붕리스트"/>
      <sheetName val="구조체_지붕"/>
      <sheetName val="열교_지붕"/>
      <sheetName val="지붕생성"/>
      <sheetName val="지붕index"/>
      <sheetName val="지붕열교DB"/>
      <sheetName val="지붕열교이미지"/>
      <sheetName val="바닥리스트"/>
      <sheetName val="구조체_바닥"/>
      <sheetName val="열교_바닥"/>
      <sheetName val="바닥생성"/>
      <sheetName val="바닥열교DB"/>
      <sheetName val="바닥index"/>
      <sheetName val="바닥열교이미지"/>
      <sheetName val="창호리스트"/>
      <sheetName val="구조체_창호"/>
      <sheetName val="창호생성"/>
      <sheetName val="프레임계산"/>
      <sheetName val="창호치수정보"/>
      <sheetName val="창호입력"/>
      <sheetName val="창호자재DB"/>
      <sheetName val="창호index"/>
      <sheetName val="창호자재이미지"/>
      <sheetName val="출입문리스트"/>
      <sheetName val="구조체_출입문"/>
      <sheetName val="출입문생성"/>
      <sheetName val="출입문index"/>
      <sheetName val="출입문자재DB"/>
      <sheetName val="출입문자재이미지"/>
      <sheetName val="3D모델"/>
      <sheetName val="음영"/>
      <sheetName val="차양"/>
      <sheetName val="차양이미지"/>
      <sheetName val="음영차양생성"/>
      <sheetName val="층리스트"/>
      <sheetName val="존리스트"/>
      <sheetName val="존일반"/>
      <sheetName val="존index"/>
      <sheetName val="축열기밀"/>
      <sheetName val="외피index"/>
      <sheetName val="용도프로필"/>
      <sheetName val="비냉난방존내벽"/>
      <sheetName val="01.건물"/>
      <sheetName val="02.패시브기술_외벽"/>
      <sheetName val="부록A.존"/>
      <sheetName val="02.패시브기술_창호"/>
      <sheetName val="건물모델링_기존"/>
      <sheetName val="존외피생성"/>
      <sheetName val="존입력"/>
      <sheetName val="존생성"/>
      <sheetName val="존생성_법규"/>
      <sheetName val="InputData"/>
      <sheetName val="Calculation"/>
      <sheetName val="OutputData"/>
      <sheetName val="난방설비데이터"/>
      <sheetName val="냉방설비데이터"/>
      <sheetName val="월별기후데이터"/>
      <sheetName val="열전도율DB"/>
      <sheetName val="Data"/>
      <sheetName val="존일반index"/>
      <sheetName val="용도프로필index"/>
      <sheetName val="외피창호index"/>
      <sheetName val="용도_수정"/>
      <sheetName val="기후"/>
      <sheetName val="기후_부하"/>
      <sheetName val="기후_시간별"/>
      <sheetName val="리모델링전"/>
      <sheetName val="약산"/>
      <sheetName val="존외피생성_법규"/>
      <sheetName val="InputData_법규"/>
      <sheetName val="Calculation_법규"/>
      <sheetName val="OutputData_법규"/>
      <sheetName val="난방설비데이터_법규"/>
      <sheetName val="냉방설비데이터_법규"/>
      <sheetName val="난방설비입력값_법규"/>
      <sheetName val="대안검토_법규"/>
      <sheetName val="00.진단"/>
      <sheetName val="건물모델링_계획"/>
      <sheetName val="음영_계획"/>
      <sheetName val="차양_계획"/>
      <sheetName val="음영차양생성_계획"/>
      <sheetName val="존생성_계획"/>
      <sheetName val="존외피생성_계획"/>
      <sheetName val="InputData_계획"/>
      <sheetName val="Calculation_계획"/>
      <sheetName val="OutputData_계획"/>
      <sheetName val="난방설비데이터_계획"/>
      <sheetName val="냉방설비데이터_계획"/>
      <sheetName val="대안검토_계획"/>
      <sheetName val="난방설비입력값_계획"/>
      <sheetName val="01.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21">
          <cell r="B21" t="str">
            <v>기존 출입문</v>
          </cell>
        </row>
        <row r="22">
          <cell r="B22" t="str">
            <v>신규</v>
          </cell>
        </row>
        <row r="23">
          <cell r="B23" t="str">
            <v>철거 후 신규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A4" sqref="A4:D9"/>
    </sheetView>
  </sheetViews>
  <sheetFormatPr defaultRowHeight="16.5" x14ac:dyDescent="0.3"/>
  <sheetData>
    <row r="1" spans="1:17" ht="22.5" x14ac:dyDescent="0.3">
      <c r="A1" s="4" t="s">
        <v>0</v>
      </c>
      <c r="B1" s="4" t="s">
        <v>13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62</v>
      </c>
      <c r="H1" s="1" t="s">
        <v>60</v>
      </c>
      <c r="I1" s="1" t="s">
        <v>61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">
      <c r="A2" s="4" t="s">
        <v>41</v>
      </c>
      <c r="B2" s="4"/>
      <c r="C2" s="4"/>
      <c r="D2" s="5"/>
      <c r="E2" s="5"/>
      <c r="F2" s="5"/>
      <c r="G2" s="6"/>
      <c r="H2" s="2" t="s">
        <v>64</v>
      </c>
      <c r="I2" s="1" t="s">
        <v>61</v>
      </c>
      <c r="J2" s="3" t="s">
        <v>43</v>
      </c>
      <c r="K2" s="3" t="s">
        <v>58</v>
      </c>
      <c r="L2" s="2" t="s">
        <v>44</v>
      </c>
      <c r="M2" s="2" t="s">
        <v>45</v>
      </c>
      <c r="N2" s="2" t="s">
        <v>46</v>
      </c>
      <c r="O2" s="3" t="s">
        <v>47</v>
      </c>
      <c r="P2" s="3" t="s">
        <v>48</v>
      </c>
      <c r="Q2" s="2" t="s">
        <v>49</v>
      </c>
    </row>
    <row r="3" spans="1:17" x14ac:dyDescent="0.3">
      <c r="A3" s="4" t="s">
        <v>42</v>
      </c>
      <c r="B3" s="4"/>
      <c r="C3" s="4"/>
      <c r="D3" s="5"/>
      <c r="E3" s="5"/>
      <c r="F3" s="5"/>
      <c r="G3" s="6"/>
      <c r="H3" s="20" t="s">
        <v>65</v>
      </c>
      <c r="I3" s="20" t="s">
        <v>65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57</v>
      </c>
    </row>
    <row r="4" spans="1:17" x14ac:dyDescent="0.3">
      <c r="A4" s="7" t="s">
        <v>14</v>
      </c>
      <c r="B4" s="8" t="s">
        <v>59</v>
      </c>
      <c r="C4" s="8" t="s">
        <v>15</v>
      </c>
      <c r="D4" s="8" t="s">
        <v>16</v>
      </c>
      <c r="E4" s="9" t="s">
        <v>17</v>
      </c>
      <c r="F4" s="9" t="s">
        <v>18</v>
      </c>
      <c r="G4" s="9" t="s">
        <v>19</v>
      </c>
      <c r="H4" s="9" t="s">
        <v>63</v>
      </c>
      <c r="I4" s="9" t="s">
        <v>63</v>
      </c>
      <c r="J4" s="9">
        <v>-2.5999999999999999E-2</v>
      </c>
      <c r="K4" s="9">
        <v>-2.5000000000000001E-2</v>
      </c>
      <c r="L4" s="13">
        <v>30</v>
      </c>
      <c r="M4" s="14">
        <v>2.4319999999999999</v>
      </c>
      <c r="N4" s="9">
        <v>600</v>
      </c>
      <c r="O4" s="9">
        <v>-1.6E-2</v>
      </c>
      <c r="P4" s="15">
        <v>-2.6666666666666668E-2</v>
      </c>
      <c r="Q4" s="16">
        <v>2.4053333333333331</v>
      </c>
    </row>
    <row r="5" spans="1:17" x14ac:dyDescent="0.3">
      <c r="A5" s="7" t="s">
        <v>20</v>
      </c>
      <c r="B5" s="8" t="s">
        <v>59</v>
      </c>
      <c r="C5" s="8" t="s">
        <v>21</v>
      </c>
      <c r="D5" s="10" t="s">
        <v>16</v>
      </c>
      <c r="E5" s="11" t="s">
        <v>17</v>
      </c>
      <c r="F5" s="11" t="s">
        <v>22</v>
      </c>
      <c r="G5" s="11" t="s">
        <v>19</v>
      </c>
      <c r="H5" s="9" t="s">
        <v>63</v>
      </c>
      <c r="I5" s="9" t="s">
        <v>63</v>
      </c>
      <c r="J5" s="11">
        <v>3.5999999999999997E-2</v>
      </c>
      <c r="K5" s="11">
        <v>4.2999999999999997E-2</v>
      </c>
      <c r="L5" s="13">
        <v>30</v>
      </c>
      <c r="M5" s="14">
        <v>0.90100000000000002</v>
      </c>
      <c r="N5" s="9">
        <v>600</v>
      </c>
      <c r="O5" s="11">
        <v>3.5000000000000003E-2</v>
      </c>
      <c r="P5" s="15">
        <v>5.8333333333333341E-2</v>
      </c>
      <c r="Q5" s="16">
        <v>0.95933333333333337</v>
      </c>
    </row>
    <row r="6" spans="1:17" x14ac:dyDescent="0.3">
      <c r="A6" s="7" t="s">
        <v>23</v>
      </c>
      <c r="B6" s="8" t="s">
        <v>59</v>
      </c>
      <c r="C6" s="8" t="s">
        <v>24</v>
      </c>
      <c r="D6" s="10" t="s">
        <v>16</v>
      </c>
      <c r="E6" s="11" t="s">
        <v>25</v>
      </c>
      <c r="F6" s="11" t="s">
        <v>18</v>
      </c>
      <c r="G6" s="9" t="s">
        <v>18</v>
      </c>
      <c r="H6" s="9" t="s">
        <v>63</v>
      </c>
      <c r="I6" s="9" t="s">
        <v>63</v>
      </c>
      <c r="J6" s="11">
        <v>0.316</v>
      </c>
      <c r="K6" s="11">
        <v>0.34200000000000003</v>
      </c>
      <c r="L6" s="13">
        <v>30</v>
      </c>
      <c r="M6" s="14">
        <v>2.6280000000000001</v>
      </c>
      <c r="N6" s="9">
        <v>600</v>
      </c>
      <c r="O6" s="11">
        <v>0.214</v>
      </c>
      <c r="P6" s="15">
        <v>0.35666666666666669</v>
      </c>
      <c r="Q6" s="16">
        <v>2.9846666666666666</v>
      </c>
    </row>
    <row r="7" spans="1:17" x14ac:dyDescent="0.3">
      <c r="A7" s="7" t="s">
        <v>26</v>
      </c>
      <c r="B7" s="8" t="s">
        <v>59</v>
      </c>
      <c r="C7" s="8" t="s">
        <v>27</v>
      </c>
      <c r="D7" s="10" t="s">
        <v>16</v>
      </c>
      <c r="E7" s="11" t="s">
        <v>25</v>
      </c>
      <c r="F7" s="11" t="s">
        <v>18</v>
      </c>
      <c r="G7" s="11" t="s">
        <v>28</v>
      </c>
      <c r="H7" s="9" t="s">
        <v>63</v>
      </c>
      <c r="I7" s="9" t="s">
        <v>63</v>
      </c>
      <c r="J7" s="11">
        <v>0.36399999999999999</v>
      </c>
      <c r="K7" s="11">
        <v>0.37</v>
      </c>
      <c r="L7" s="13">
        <v>30</v>
      </c>
      <c r="M7" s="14">
        <v>2.6280000000000001</v>
      </c>
      <c r="N7" s="9">
        <v>600</v>
      </c>
      <c r="O7" s="11">
        <v>0.214</v>
      </c>
      <c r="P7" s="15">
        <v>0.35666666666666669</v>
      </c>
      <c r="Q7" s="16">
        <v>2.9846666666666666</v>
      </c>
    </row>
    <row r="8" spans="1:17" x14ac:dyDescent="0.3">
      <c r="A8" s="7" t="s">
        <v>29</v>
      </c>
      <c r="B8" s="8" t="s">
        <v>59</v>
      </c>
      <c r="C8" s="8" t="s">
        <v>30</v>
      </c>
      <c r="D8" s="10" t="s">
        <v>16</v>
      </c>
      <c r="E8" s="11" t="s">
        <v>25</v>
      </c>
      <c r="F8" s="11" t="s">
        <v>18</v>
      </c>
      <c r="G8" s="11" t="s">
        <v>22</v>
      </c>
      <c r="H8" s="9" t="s">
        <v>63</v>
      </c>
      <c r="I8" s="9" t="s">
        <v>63</v>
      </c>
      <c r="J8" s="11">
        <v>0.307</v>
      </c>
      <c r="K8" s="11">
        <v>0.33700000000000002</v>
      </c>
      <c r="L8" s="13">
        <v>30</v>
      </c>
      <c r="M8" s="14">
        <v>2.6280000000000001</v>
      </c>
      <c r="N8" s="9">
        <v>600</v>
      </c>
      <c r="O8" s="11">
        <v>0.214</v>
      </c>
      <c r="P8" s="15">
        <v>0.35666666666666669</v>
      </c>
      <c r="Q8" s="16">
        <v>2.9846666666666666</v>
      </c>
    </row>
    <row r="9" spans="1:17" x14ac:dyDescent="0.3">
      <c r="A9" s="7" t="s">
        <v>31</v>
      </c>
      <c r="B9" s="8" t="s">
        <v>59</v>
      </c>
      <c r="C9" s="8" t="s">
        <v>32</v>
      </c>
      <c r="D9" s="10" t="s">
        <v>16</v>
      </c>
      <c r="E9" s="11" t="s">
        <v>25</v>
      </c>
      <c r="F9" s="11" t="s">
        <v>22</v>
      </c>
      <c r="G9" s="9" t="s">
        <v>18</v>
      </c>
      <c r="H9" s="9" t="s">
        <v>63</v>
      </c>
      <c r="I9" s="9" t="s">
        <v>63</v>
      </c>
      <c r="J9" s="11">
        <v>0.50800000000000001</v>
      </c>
      <c r="K9" s="11">
        <v>0.54800000000000004</v>
      </c>
      <c r="L9" s="13">
        <v>40</v>
      </c>
      <c r="M9" s="17">
        <v>0.56499999999999995</v>
      </c>
      <c r="N9" s="9">
        <v>600</v>
      </c>
      <c r="O9" s="11">
        <v>0.371</v>
      </c>
      <c r="P9" s="15">
        <v>0.6183333333333334</v>
      </c>
      <c r="Q9" s="16">
        <v>1.1833333333333333</v>
      </c>
    </row>
    <row r="10" spans="1:17" x14ac:dyDescent="0.3">
      <c r="A10" s="7" t="s">
        <v>33</v>
      </c>
      <c r="B10" s="8" t="s">
        <v>59</v>
      </c>
      <c r="C10" s="8" t="s">
        <v>34</v>
      </c>
      <c r="D10" s="10" t="s">
        <v>16</v>
      </c>
      <c r="E10" s="11" t="s">
        <v>25</v>
      </c>
      <c r="F10" s="11" t="s">
        <v>22</v>
      </c>
      <c r="G10" s="11" t="s">
        <v>28</v>
      </c>
      <c r="H10" s="9" t="s">
        <v>63</v>
      </c>
      <c r="I10" s="9" t="s">
        <v>63</v>
      </c>
      <c r="J10" s="11">
        <v>0.55400000000000005</v>
      </c>
      <c r="K10" s="11">
        <v>0.57599999999999996</v>
      </c>
      <c r="L10" s="13">
        <v>40</v>
      </c>
      <c r="M10" s="17">
        <v>0.56499999999999995</v>
      </c>
      <c r="N10" s="9">
        <v>600</v>
      </c>
      <c r="O10" s="11">
        <v>0.371</v>
      </c>
      <c r="P10" s="15">
        <v>0.6183333333333334</v>
      </c>
      <c r="Q10" s="16">
        <v>1.1833333333333333</v>
      </c>
    </row>
    <row r="11" spans="1:17" x14ac:dyDescent="0.3">
      <c r="A11" s="7" t="s">
        <v>35</v>
      </c>
      <c r="B11" s="8" t="s">
        <v>59</v>
      </c>
      <c r="C11" s="8" t="s">
        <v>36</v>
      </c>
      <c r="D11" s="10" t="s">
        <v>16</v>
      </c>
      <c r="E11" s="11" t="s">
        <v>25</v>
      </c>
      <c r="F11" s="11" t="s">
        <v>22</v>
      </c>
      <c r="G11" s="11" t="s">
        <v>22</v>
      </c>
      <c r="H11" s="9" t="s">
        <v>63</v>
      </c>
      <c r="I11" s="9" t="s">
        <v>63</v>
      </c>
      <c r="J11" s="11">
        <v>0.499</v>
      </c>
      <c r="K11" s="11">
        <v>0.54300000000000004</v>
      </c>
      <c r="L11" s="13">
        <v>40</v>
      </c>
      <c r="M11" s="17">
        <v>0.56499999999999995</v>
      </c>
      <c r="N11" s="9">
        <v>600</v>
      </c>
      <c r="O11" s="11">
        <v>0.371</v>
      </c>
      <c r="P11" s="15">
        <v>0.6183333333333334</v>
      </c>
      <c r="Q11" s="16">
        <v>1.1833333333333333</v>
      </c>
    </row>
    <row r="12" spans="1:17" x14ac:dyDescent="0.3">
      <c r="A12" s="12" t="s">
        <v>37</v>
      </c>
      <c r="B12" s="8" t="s">
        <v>59</v>
      </c>
      <c r="C12" s="10" t="s">
        <v>38</v>
      </c>
      <c r="D12" s="10" t="s">
        <v>39</v>
      </c>
      <c r="E12" s="11" t="s">
        <v>40</v>
      </c>
      <c r="F12" s="11" t="s">
        <v>22</v>
      </c>
      <c r="G12" s="11" t="s">
        <v>22</v>
      </c>
      <c r="H12" s="9" t="s">
        <v>63</v>
      </c>
      <c r="I12" s="9" t="s">
        <v>63</v>
      </c>
      <c r="J12" s="18">
        <v>0.108</v>
      </c>
      <c r="K12" s="11">
        <v>6.7000000000000004E-2</v>
      </c>
      <c r="L12" s="17">
        <v>48</v>
      </c>
      <c r="M12" s="19">
        <v>0.56497175141242939</v>
      </c>
      <c r="N12" s="11">
        <v>600</v>
      </c>
      <c r="O12" s="11">
        <v>0.28699999999999998</v>
      </c>
      <c r="P12" s="18">
        <v>0.47833333333333333</v>
      </c>
      <c r="Q12" s="18">
        <v>1.0433050847457628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4" sqref="A4:B4"/>
    </sheetView>
  </sheetViews>
  <sheetFormatPr defaultRowHeight="16.5" x14ac:dyDescent="0.3"/>
  <sheetData>
    <row r="1" spans="1:7" ht="22.5" x14ac:dyDescent="0.3">
      <c r="A1" s="27" t="s">
        <v>66</v>
      </c>
      <c r="B1" s="28" t="s">
        <v>67</v>
      </c>
      <c r="C1" s="29" t="s">
        <v>68</v>
      </c>
      <c r="D1" s="28" t="s">
        <v>69</v>
      </c>
      <c r="E1" s="21" t="s">
        <v>70</v>
      </c>
      <c r="F1" s="21" t="s">
        <v>71</v>
      </c>
      <c r="G1" s="21" t="s">
        <v>72</v>
      </c>
    </row>
    <row r="2" spans="1:7" x14ac:dyDescent="0.3">
      <c r="A2" s="27" t="s">
        <v>93</v>
      </c>
      <c r="B2" s="28"/>
      <c r="C2" s="29"/>
      <c r="D2" s="28"/>
      <c r="E2" s="22" t="s">
        <v>87</v>
      </c>
      <c r="F2" s="22" t="s">
        <v>88</v>
      </c>
      <c r="G2" s="22" t="s">
        <v>89</v>
      </c>
    </row>
    <row r="3" spans="1:7" x14ac:dyDescent="0.3">
      <c r="A3" s="27" t="s">
        <v>94</v>
      </c>
      <c r="B3" s="28"/>
      <c r="C3" s="29"/>
      <c r="D3" s="28"/>
      <c r="E3" s="30" t="s">
        <v>90</v>
      </c>
      <c r="F3" s="30" t="s">
        <v>91</v>
      </c>
      <c r="G3" s="30" t="s">
        <v>92</v>
      </c>
    </row>
    <row r="4" spans="1:7" x14ac:dyDescent="0.3">
      <c r="A4" s="23" t="s">
        <v>73</v>
      </c>
      <c r="B4" s="23" t="str">
        <f>C4&amp;"/"&amp;LEFT(D4,2)</f>
        <v>내단열/외부</v>
      </c>
      <c r="C4" s="23" t="s">
        <v>74</v>
      </c>
      <c r="D4" s="23" t="s">
        <v>75</v>
      </c>
      <c r="E4" s="24">
        <v>0.17100000000000001</v>
      </c>
      <c r="F4" s="24">
        <v>0.17100000000000001</v>
      </c>
      <c r="G4" s="24">
        <v>0.30499999999999999</v>
      </c>
    </row>
    <row r="5" spans="1:7" x14ac:dyDescent="0.3">
      <c r="A5" s="23" t="s">
        <v>76</v>
      </c>
      <c r="B5" s="23" t="str">
        <f t="shared" ref="B5:B11" si="0">C5&amp;"/"&amp;LEFT(D5,2)</f>
        <v>내단열/내부</v>
      </c>
      <c r="C5" s="23" t="s">
        <v>74</v>
      </c>
      <c r="D5" s="23" t="s">
        <v>77</v>
      </c>
      <c r="E5" s="24">
        <v>-3.0000000000000001E-3</v>
      </c>
      <c r="F5" s="24">
        <v>-3.0000000000000001E-3</v>
      </c>
      <c r="G5" s="24">
        <v>9.8000000000000004E-2</v>
      </c>
    </row>
    <row r="6" spans="1:7" x14ac:dyDescent="0.3">
      <c r="A6" s="23" t="s">
        <v>78</v>
      </c>
      <c r="B6" s="23" t="str">
        <f t="shared" si="0"/>
        <v>외단열/외부</v>
      </c>
      <c r="C6" s="25" t="s">
        <v>79</v>
      </c>
      <c r="D6" s="25" t="s">
        <v>75</v>
      </c>
      <c r="E6" s="24">
        <v>-3.0000000000000001E-3</v>
      </c>
      <c r="F6" s="24">
        <v>-3.0000000000000001E-3</v>
      </c>
      <c r="G6" s="24">
        <v>-4.0000000000000001E-3</v>
      </c>
    </row>
    <row r="7" spans="1:7" x14ac:dyDescent="0.3">
      <c r="A7" s="23" t="s">
        <v>80</v>
      </c>
      <c r="B7" s="23" t="str">
        <f t="shared" si="0"/>
        <v>외단열/내부</v>
      </c>
      <c r="C7" s="25" t="s">
        <v>79</v>
      </c>
      <c r="D7" s="25" t="s">
        <v>77</v>
      </c>
      <c r="E7" s="26">
        <v>0.14000000000000001</v>
      </c>
      <c r="F7" s="26">
        <v>0.14000000000000001</v>
      </c>
      <c r="G7" s="26">
        <v>0.124</v>
      </c>
    </row>
    <row r="8" spans="1:7" x14ac:dyDescent="0.3">
      <c r="A8" s="23" t="s">
        <v>81</v>
      </c>
      <c r="B8" s="23" t="str">
        <f t="shared" si="0"/>
        <v>목구조/외부</v>
      </c>
      <c r="C8" s="25" t="s">
        <v>82</v>
      </c>
      <c r="D8" s="23" t="s">
        <v>75</v>
      </c>
      <c r="E8" s="26">
        <v>3.3000000000000002E-2</v>
      </c>
      <c r="F8" s="26">
        <v>3.3000000000000002E-2</v>
      </c>
      <c r="G8" s="26">
        <v>0.30499999999999999</v>
      </c>
    </row>
    <row r="9" spans="1:7" x14ac:dyDescent="0.3">
      <c r="A9" s="23" t="s">
        <v>83</v>
      </c>
      <c r="B9" s="23" t="str">
        <f t="shared" si="0"/>
        <v>목구조/내부</v>
      </c>
      <c r="C9" s="25" t="s">
        <v>82</v>
      </c>
      <c r="D9" s="23" t="s">
        <v>77</v>
      </c>
      <c r="E9" s="26">
        <v>5.3999999999999999E-2</v>
      </c>
      <c r="F9" s="26">
        <v>5.3999999999999999E-2</v>
      </c>
      <c r="G9" s="26">
        <v>9.8000000000000004E-2</v>
      </c>
    </row>
    <row r="10" spans="1:7" x14ac:dyDescent="0.3">
      <c r="A10" s="23" t="s">
        <v>84</v>
      </c>
      <c r="B10" s="23" t="str">
        <f t="shared" si="0"/>
        <v>경량철골조/외부</v>
      </c>
      <c r="C10" s="25" t="s">
        <v>85</v>
      </c>
      <c r="D10" s="25" t="s">
        <v>75</v>
      </c>
      <c r="E10" s="24">
        <v>0.14899999999999999</v>
      </c>
      <c r="F10" s="24">
        <v>0.14899999999999999</v>
      </c>
      <c r="G10" s="24">
        <v>0.30499999999999999</v>
      </c>
    </row>
    <row r="11" spans="1:7" x14ac:dyDescent="0.3">
      <c r="A11" s="23" t="s">
        <v>86</v>
      </c>
      <c r="B11" s="23" t="str">
        <f t="shared" si="0"/>
        <v>경량철골조/내부</v>
      </c>
      <c r="C11" s="25" t="s">
        <v>85</v>
      </c>
      <c r="D11" s="25" t="s">
        <v>77</v>
      </c>
      <c r="E11" s="24">
        <v>0.17299999999999999</v>
      </c>
      <c r="F11" s="24">
        <v>0.17299999999999999</v>
      </c>
      <c r="G11" s="24">
        <v>9.8000000000000004E-2</v>
      </c>
    </row>
  </sheetData>
  <phoneticPr fontId="2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[1.요구량Tool_ve30.xlsm]출입문index!#REF!</xm:f>
          </x14:formula1>
          <xm:sqref>C4:C11</xm:sqref>
        </x14:dataValidation>
        <x14:dataValidation type="list" allowBlank="1" showInputMessage="1" showErrorMessage="1">
          <x14:formula1>
            <xm:f>[1.요구량Tool_ve30.xlsm]출입문index!#REF!</xm:f>
          </x14:formula1>
          <xm:sqref>D4:D11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I28"/>
  <sheetViews>
    <sheetView showGridLines="0" zoomScaleNormal="100" workbookViewId="0">
      <selection activeCell="A2" sqref="A2:D2"/>
    </sheetView>
  </sheetViews>
  <sheetFormatPr defaultRowHeight="16.5" x14ac:dyDescent="0.3"/>
  <cols>
    <col min="1" max="6" width="9" style="47"/>
    <col min="7" max="7" width="13.5" style="47" customWidth="1"/>
    <col min="8" max="8" width="12.625" style="47" customWidth="1"/>
    <col min="9" max="9" width="30.875" style="47" customWidth="1"/>
    <col min="10" max="16384" width="9" style="47"/>
  </cols>
  <sheetData>
    <row r="1" spans="1:9" customFormat="1" ht="22.5" customHeight="1" x14ac:dyDescent="0.3">
      <c r="A1" s="4" t="s">
        <v>0</v>
      </c>
      <c r="B1" s="4" t="s">
        <v>13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62</v>
      </c>
      <c r="H1" s="34" t="s">
        <v>96</v>
      </c>
      <c r="I1" s="35"/>
    </row>
    <row r="2" spans="1:9" customFormat="1" ht="180" customHeight="1" x14ac:dyDescent="0.3">
      <c r="A2" s="49" t="str">
        <f>문!A4</f>
        <v>표준_001</v>
      </c>
      <c r="B2" s="49" t="str">
        <f>문!B4</f>
        <v>표준</v>
      </c>
      <c r="C2" s="49" t="str">
        <f>문!C4</f>
        <v>D_WOOD1</v>
      </c>
      <c r="D2" s="49" t="str">
        <f>문!D4</f>
        <v>IPAZEB</v>
      </c>
      <c r="E2" s="49" t="str">
        <f>문!E4</f>
        <v>목재문</v>
      </c>
      <c r="F2" s="49" t="str">
        <f>문!F4</f>
        <v>공기</v>
      </c>
      <c r="G2" s="49" t="str">
        <f>문!G4</f>
        <v>목재</v>
      </c>
      <c r="H2" s="41"/>
      <c r="I2" s="41"/>
    </row>
    <row r="3" spans="1:9" customFormat="1" ht="180" customHeight="1" x14ac:dyDescent="0.3">
      <c r="A3" s="49" t="str">
        <f>문!A5</f>
        <v>표준_002</v>
      </c>
      <c r="B3" s="49" t="str">
        <f>문!B5</f>
        <v>표준</v>
      </c>
      <c r="C3" s="49" t="str">
        <f>문!C5</f>
        <v>D_WOOD2</v>
      </c>
      <c r="D3" s="49" t="str">
        <f>문!D5</f>
        <v>IPAZEB</v>
      </c>
      <c r="E3" s="49" t="str">
        <f>문!E5</f>
        <v>목재문</v>
      </c>
      <c r="F3" s="49" t="str">
        <f>문!F5</f>
        <v>단열재</v>
      </c>
      <c r="G3" s="49" t="str">
        <f>문!G5</f>
        <v>목재</v>
      </c>
      <c r="H3" s="41"/>
      <c r="I3" s="41"/>
    </row>
    <row r="4" spans="1:9" customFormat="1" ht="180" customHeight="1" x14ac:dyDescent="0.3">
      <c r="A4" s="49" t="str">
        <f>문!A6</f>
        <v>표준_003</v>
      </c>
      <c r="B4" s="49" t="str">
        <f>문!B6</f>
        <v>표준</v>
      </c>
      <c r="C4" s="49" t="str">
        <f>문!C6</f>
        <v>D_STEEL1</v>
      </c>
      <c r="D4" s="49" t="str">
        <f>문!D6</f>
        <v>IPAZEB</v>
      </c>
      <c r="E4" s="49" t="str">
        <f>문!E6</f>
        <v>철문</v>
      </c>
      <c r="F4" s="49" t="str">
        <f>문!F6</f>
        <v>공기</v>
      </c>
      <c r="G4" s="49" t="str">
        <f>문!G6</f>
        <v>공기</v>
      </c>
      <c r="H4" s="41"/>
      <c r="I4" s="41"/>
    </row>
    <row r="5" spans="1:9" customFormat="1" ht="180" customHeight="1" x14ac:dyDescent="0.3">
      <c r="A5" s="49" t="str">
        <f>문!A7</f>
        <v>표준_004</v>
      </c>
      <c r="B5" s="49" t="str">
        <f>문!B7</f>
        <v>표준</v>
      </c>
      <c r="C5" s="49" t="str">
        <f>문!C7</f>
        <v>D_STEEL2</v>
      </c>
      <c r="D5" s="49" t="str">
        <f>문!D7</f>
        <v>IPAZEB</v>
      </c>
      <c r="E5" s="49" t="str">
        <f>문!E7</f>
        <v>철문</v>
      </c>
      <c r="F5" s="49" t="str">
        <f>문!F7</f>
        <v>공기</v>
      </c>
      <c r="G5" s="49" t="str">
        <f>문!G7</f>
        <v>시멘트몰탈</v>
      </c>
      <c r="H5" s="41"/>
      <c r="I5" s="41"/>
    </row>
    <row r="6" spans="1:9" customFormat="1" ht="180" customHeight="1" x14ac:dyDescent="0.3">
      <c r="A6" s="49" t="str">
        <f>문!A8</f>
        <v>표준_005</v>
      </c>
      <c r="B6" s="49" t="str">
        <f>문!B8</f>
        <v>표준</v>
      </c>
      <c r="C6" s="49" t="str">
        <f>문!C8</f>
        <v>D_STEEL3</v>
      </c>
      <c r="D6" s="49" t="str">
        <f>문!D8</f>
        <v>IPAZEB</v>
      </c>
      <c r="E6" s="49" t="str">
        <f>문!E8</f>
        <v>철문</v>
      </c>
      <c r="F6" s="49" t="str">
        <f>문!F8</f>
        <v>공기</v>
      </c>
      <c r="G6" s="49" t="str">
        <f>문!G8</f>
        <v>단열재</v>
      </c>
      <c r="H6" s="41"/>
      <c r="I6" s="41"/>
    </row>
    <row r="7" spans="1:9" customFormat="1" ht="180" customHeight="1" x14ac:dyDescent="0.3">
      <c r="A7" s="49" t="str">
        <f>문!A9</f>
        <v>표준_006</v>
      </c>
      <c r="B7" s="49" t="str">
        <f>문!B9</f>
        <v>표준</v>
      </c>
      <c r="C7" s="49" t="str">
        <f>문!C9</f>
        <v>D_STEEL4</v>
      </c>
      <c r="D7" s="49" t="str">
        <f>문!D9</f>
        <v>IPAZEB</v>
      </c>
      <c r="E7" s="49" t="str">
        <f>문!E9</f>
        <v>철문</v>
      </c>
      <c r="F7" s="49" t="str">
        <f>문!F9</f>
        <v>단열재</v>
      </c>
      <c r="G7" s="49" t="str">
        <f>문!G9</f>
        <v>공기</v>
      </c>
      <c r="H7" s="41"/>
      <c r="I7" s="41"/>
    </row>
    <row r="8" spans="1:9" customFormat="1" ht="180" customHeight="1" x14ac:dyDescent="0.3">
      <c r="A8" s="49" t="str">
        <f>문!A10</f>
        <v>표준_007</v>
      </c>
      <c r="B8" s="49" t="str">
        <f>문!B10</f>
        <v>표준</v>
      </c>
      <c r="C8" s="49" t="str">
        <f>문!C10</f>
        <v>D_STEEL5</v>
      </c>
      <c r="D8" s="49" t="str">
        <f>문!D10</f>
        <v>IPAZEB</v>
      </c>
      <c r="E8" s="49" t="str">
        <f>문!E10</f>
        <v>철문</v>
      </c>
      <c r="F8" s="49" t="str">
        <f>문!F10</f>
        <v>단열재</v>
      </c>
      <c r="G8" s="49" t="str">
        <f>문!G10</f>
        <v>시멘트몰탈</v>
      </c>
      <c r="H8" s="41"/>
      <c r="I8" s="41"/>
    </row>
    <row r="9" spans="1:9" customFormat="1" ht="180" customHeight="1" x14ac:dyDescent="0.3">
      <c r="A9" s="49" t="str">
        <f>문!A11</f>
        <v>표준_008</v>
      </c>
      <c r="B9" s="49" t="str">
        <f>문!B11</f>
        <v>표준</v>
      </c>
      <c r="C9" s="49" t="str">
        <f>문!C11</f>
        <v>D_STEEL6</v>
      </c>
      <c r="D9" s="49" t="str">
        <f>문!D11</f>
        <v>IPAZEB</v>
      </c>
      <c r="E9" s="49" t="str">
        <f>문!E11</f>
        <v>철문</v>
      </c>
      <c r="F9" s="49" t="str">
        <f>문!F11</f>
        <v>단열재</v>
      </c>
      <c r="G9" s="49" t="str">
        <f>문!G11</f>
        <v>단열재</v>
      </c>
      <c r="H9" s="41"/>
      <c r="I9" s="41"/>
    </row>
    <row r="10" spans="1:9" customFormat="1" ht="180" customHeight="1" x14ac:dyDescent="0.3">
      <c r="A10" s="49" t="str">
        <f>문!A12</f>
        <v>표준_009</v>
      </c>
      <c r="B10" s="49" t="str">
        <f>문!B12</f>
        <v>표준</v>
      </c>
      <c r="C10" s="49" t="str">
        <f>문!C12</f>
        <v>D_INSUL1</v>
      </c>
      <c r="D10" s="49" t="str">
        <f>문!D12</f>
        <v>IPAZEB</v>
      </c>
      <c r="E10" s="49" t="str">
        <f>문!E12</f>
        <v>단열문</v>
      </c>
      <c r="F10" s="49" t="str">
        <f>문!F12</f>
        <v>단열재</v>
      </c>
      <c r="G10" s="49" t="str">
        <f>문!G12</f>
        <v>단열재</v>
      </c>
      <c r="H10" s="41"/>
      <c r="I10" s="41"/>
    </row>
    <row r="11" spans="1:9" customFormat="1" ht="180" customHeight="1" x14ac:dyDescent="0.3">
      <c r="A11" s="49"/>
      <c r="B11" s="49"/>
      <c r="C11" s="49"/>
      <c r="D11" s="49"/>
      <c r="E11" s="49" t="s">
        <v>97</v>
      </c>
      <c r="F11" s="49" t="s">
        <v>59</v>
      </c>
      <c r="G11" s="49" t="s">
        <v>98</v>
      </c>
      <c r="H11" s="50"/>
      <c r="I11" s="46"/>
    </row>
    <row r="12" spans="1:9" ht="180" customHeight="1" x14ac:dyDescent="0.3">
      <c r="H12" s="46"/>
      <c r="I12" s="46"/>
    </row>
    <row r="13" spans="1:9" ht="180" customHeight="1" x14ac:dyDescent="0.3">
      <c r="H13" s="46"/>
      <c r="I13" s="46"/>
    </row>
    <row r="14" spans="1:9" ht="180" customHeight="1" x14ac:dyDescent="0.3">
      <c r="H14" s="46"/>
      <c r="I14" s="46"/>
    </row>
    <row r="15" spans="1:9" ht="180" customHeight="1" x14ac:dyDescent="0.3">
      <c r="H15" s="46"/>
      <c r="I15" s="46"/>
    </row>
    <row r="16" spans="1:9" ht="180" customHeight="1" x14ac:dyDescent="0.3">
      <c r="H16" s="46"/>
      <c r="I16" s="46"/>
    </row>
    <row r="17" spans="8:9" ht="180" customHeight="1" x14ac:dyDescent="0.3">
      <c r="H17" s="46"/>
      <c r="I17" s="46"/>
    </row>
    <row r="18" spans="8:9" ht="180" customHeight="1" x14ac:dyDescent="0.3">
      <c r="H18" s="46"/>
      <c r="I18" s="46"/>
    </row>
    <row r="19" spans="8:9" ht="180" customHeight="1" x14ac:dyDescent="0.3">
      <c r="H19" s="46"/>
      <c r="I19" s="46"/>
    </row>
    <row r="20" spans="8:9" ht="180" customHeight="1" x14ac:dyDescent="0.3"/>
    <row r="21" spans="8:9" ht="180" customHeight="1" x14ac:dyDescent="0.3"/>
    <row r="22" spans="8:9" ht="180" customHeight="1" x14ac:dyDescent="0.3"/>
    <row r="23" spans="8:9" ht="180" customHeight="1" x14ac:dyDescent="0.3"/>
    <row r="24" spans="8:9" ht="180" customHeight="1" x14ac:dyDescent="0.3"/>
    <row r="25" spans="8:9" ht="180" customHeight="1" x14ac:dyDescent="0.3"/>
    <row r="26" spans="8:9" ht="180" customHeight="1" x14ac:dyDescent="0.3"/>
    <row r="27" spans="8:9" ht="180" customHeight="1" x14ac:dyDescent="0.3"/>
    <row r="28" spans="8:9" ht="180" customHeight="1" x14ac:dyDescent="0.3"/>
  </sheetData>
  <mergeCells count="19">
    <mergeCell ref="H17:I17"/>
    <mergeCell ref="H18:I18"/>
    <mergeCell ref="H19:I19"/>
    <mergeCell ref="H14:I14"/>
    <mergeCell ref="H15:I15"/>
    <mergeCell ref="H16:I16"/>
    <mergeCell ref="H11:I11"/>
    <mergeCell ref="H12:I12"/>
    <mergeCell ref="H13:I13"/>
    <mergeCell ref="H8:I8"/>
    <mergeCell ref="H9:I9"/>
    <mergeCell ref="H10:I10"/>
    <mergeCell ref="H6:I6"/>
    <mergeCell ref="H7:I7"/>
    <mergeCell ref="H4:I4"/>
    <mergeCell ref="H5:I5"/>
    <mergeCell ref="H1:I1"/>
    <mergeCell ref="H2:I2"/>
    <mergeCell ref="H3:I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G28"/>
  <sheetViews>
    <sheetView showGridLines="0" tabSelected="1" topLeftCell="A7" zoomScale="55" zoomScaleNormal="55" workbookViewId="0">
      <selection activeCell="O2" sqref="O2"/>
    </sheetView>
  </sheetViews>
  <sheetFormatPr defaultRowHeight="16.5" x14ac:dyDescent="0.3"/>
  <cols>
    <col min="1" max="2" width="9" style="47"/>
    <col min="3" max="4" width="9" style="48"/>
    <col min="5" max="5" width="12.625" style="47" customWidth="1"/>
    <col min="6" max="6" width="32.125" style="47" customWidth="1"/>
    <col min="7" max="7" width="31.75" style="47" customWidth="1"/>
    <col min="8" max="16384" width="9" style="47"/>
  </cols>
  <sheetData>
    <row r="1" spans="1:7" customFormat="1" ht="22.5" customHeight="1" x14ac:dyDescent="0.3">
      <c r="A1" s="27" t="s">
        <v>66</v>
      </c>
      <c r="B1" s="28" t="s">
        <v>67</v>
      </c>
      <c r="C1" s="29" t="s">
        <v>68</v>
      </c>
      <c r="D1" s="28" t="s">
        <v>69</v>
      </c>
      <c r="E1" s="36" t="s">
        <v>99</v>
      </c>
      <c r="F1" s="36" t="s">
        <v>99</v>
      </c>
      <c r="G1" s="36" t="s">
        <v>100</v>
      </c>
    </row>
    <row r="2" spans="1:7" customFormat="1" ht="180" customHeight="1" x14ac:dyDescent="0.3">
      <c r="A2" s="23" t="str">
        <f>설치열교!A4</f>
        <v>DIS_001</v>
      </c>
      <c r="B2" s="23" t="str">
        <f>설치열교!B4</f>
        <v>내단열/외부</v>
      </c>
      <c r="C2" s="23" t="str">
        <f>설치열교!C4</f>
        <v>내단열</v>
      </c>
      <c r="D2" s="23" t="str">
        <f>설치열교!D4</f>
        <v>외부측</v>
      </c>
      <c r="E2" s="41"/>
      <c r="F2" s="41"/>
    </row>
    <row r="3" spans="1:7" customFormat="1" ht="180" customHeight="1" x14ac:dyDescent="0.3">
      <c r="A3" s="23" t="str">
        <f>설치열교!A5</f>
        <v>DIS_002</v>
      </c>
      <c r="B3" s="23" t="str">
        <f>설치열교!B5</f>
        <v>내단열/내부</v>
      </c>
      <c r="C3" s="23" t="str">
        <f>설치열교!C5</f>
        <v>내단열</v>
      </c>
      <c r="D3" s="23" t="str">
        <f>설치열교!D5</f>
        <v>내부측</v>
      </c>
      <c r="E3" s="41"/>
      <c r="F3" s="41"/>
    </row>
    <row r="4" spans="1:7" customFormat="1" ht="180" customHeight="1" x14ac:dyDescent="0.3">
      <c r="A4" s="23" t="str">
        <f>설치열교!A6</f>
        <v>DIS_003</v>
      </c>
      <c r="B4" s="23" t="str">
        <f>설치열교!B6</f>
        <v>외단열/외부</v>
      </c>
      <c r="C4" s="23" t="str">
        <f>설치열교!C6</f>
        <v>외단열</v>
      </c>
      <c r="D4" s="23" t="str">
        <f>설치열교!D6</f>
        <v>외부측</v>
      </c>
      <c r="E4" s="41"/>
      <c r="F4" s="41"/>
    </row>
    <row r="5" spans="1:7" customFormat="1" ht="180" customHeight="1" x14ac:dyDescent="0.3">
      <c r="A5" s="23" t="str">
        <f>설치열교!A7</f>
        <v>DIS_004</v>
      </c>
      <c r="B5" s="23" t="str">
        <f>설치열교!B7</f>
        <v>외단열/내부</v>
      </c>
      <c r="C5" s="23" t="str">
        <f>설치열교!C7</f>
        <v>외단열</v>
      </c>
      <c r="D5" s="23" t="str">
        <f>설치열교!D7</f>
        <v>내부측</v>
      </c>
      <c r="E5" s="41"/>
      <c r="F5" s="41"/>
    </row>
    <row r="6" spans="1:7" customFormat="1" ht="180" customHeight="1" x14ac:dyDescent="0.3">
      <c r="A6" s="23" t="str">
        <f>설치열교!A8</f>
        <v>DIS_005</v>
      </c>
      <c r="B6" s="23" t="str">
        <f>설치열교!B8</f>
        <v>목구조/외부</v>
      </c>
      <c r="C6" s="23" t="str">
        <f>설치열교!C8</f>
        <v>목구조</v>
      </c>
      <c r="D6" s="23" t="str">
        <f>설치열교!D8</f>
        <v>외부측</v>
      </c>
      <c r="E6" s="41"/>
      <c r="F6" s="41"/>
    </row>
    <row r="7" spans="1:7" customFormat="1" ht="180" customHeight="1" x14ac:dyDescent="0.3">
      <c r="A7" s="23" t="str">
        <f>설치열교!A9</f>
        <v>DIS_006</v>
      </c>
      <c r="B7" s="23" t="str">
        <f>설치열교!B9</f>
        <v>목구조/내부</v>
      </c>
      <c r="C7" s="23" t="str">
        <f>설치열교!C9</f>
        <v>목구조</v>
      </c>
      <c r="D7" s="23" t="str">
        <f>설치열교!D9</f>
        <v>내부측</v>
      </c>
      <c r="E7" s="41"/>
      <c r="F7" s="41"/>
    </row>
    <row r="8" spans="1:7" customFormat="1" ht="180" customHeight="1" x14ac:dyDescent="0.3">
      <c r="A8" s="23" t="str">
        <f>설치열교!A10</f>
        <v>DIS_007</v>
      </c>
      <c r="B8" s="23" t="str">
        <f>설치열교!B10</f>
        <v>경량철골조/외부</v>
      </c>
      <c r="C8" s="23" t="str">
        <f>설치열교!C10</f>
        <v>경량철골조</v>
      </c>
      <c r="D8" s="23" t="str">
        <f>설치열교!D10</f>
        <v>외부측</v>
      </c>
      <c r="E8" s="41"/>
      <c r="F8" s="41"/>
    </row>
    <row r="9" spans="1:7" customFormat="1" ht="180" customHeight="1" x14ac:dyDescent="0.3">
      <c r="A9" s="23" t="str">
        <f>설치열교!A11</f>
        <v>DIS_008</v>
      </c>
      <c r="B9" s="23" t="str">
        <f>설치열교!B11</f>
        <v>경량철골조/내부</v>
      </c>
      <c r="C9" s="23" t="str">
        <f>설치열교!C11</f>
        <v>경량철골조</v>
      </c>
      <c r="D9" s="23" t="str">
        <f>설치열교!D11</f>
        <v>내부측</v>
      </c>
      <c r="E9" s="41"/>
      <c r="F9" s="41"/>
    </row>
    <row r="10" spans="1:7" customFormat="1" ht="180" customHeight="1" x14ac:dyDescent="0.3">
      <c r="C10" s="45"/>
      <c r="D10" s="45"/>
      <c r="E10" s="41"/>
      <c r="F10" s="41"/>
    </row>
    <row r="11" spans="1:7" ht="180" customHeight="1" x14ac:dyDescent="0.3">
      <c r="C11" s="45"/>
      <c r="D11" s="45"/>
      <c r="E11" s="46"/>
      <c r="F11" s="46"/>
    </row>
    <row r="12" spans="1:7" ht="180" customHeight="1" x14ac:dyDescent="0.3">
      <c r="C12" s="45"/>
      <c r="D12" s="45"/>
      <c r="E12" s="46"/>
      <c r="F12" s="46"/>
    </row>
    <row r="13" spans="1:7" ht="180" customHeight="1" x14ac:dyDescent="0.3">
      <c r="C13" s="45"/>
      <c r="D13" s="45"/>
      <c r="E13" s="46"/>
      <c r="F13" s="46"/>
    </row>
    <row r="14" spans="1:7" ht="180" customHeight="1" x14ac:dyDescent="0.3">
      <c r="C14" s="45"/>
      <c r="D14" s="45"/>
      <c r="E14" s="46"/>
      <c r="F14" s="46"/>
    </row>
    <row r="15" spans="1:7" ht="180" customHeight="1" x14ac:dyDescent="0.3">
      <c r="C15" s="45"/>
      <c r="D15" s="45"/>
      <c r="E15" s="46"/>
      <c r="F15" s="46"/>
    </row>
    <row r="16" spans="1:7" ht="180" customHeight="1" x14ac:dyDescent="0.3">
      <c r="C16" s="45"/>
      <c r="D16" s="45"/>
      <c r="E16" s="46"/>
      <c r="F16" s="46"/>
    </row>
    <row r="17" spans="3:6" ht="180" customHeight="1" x14ac:dyDescent="0.3">
      <c r="C17" s="45"/>
      <c r="D17" s="45"/>
      <c r="E17" s="46"/>
      <c r="F17" s="46"/>
    </row>
    <row r="18" spans="3:6" ht="180" customHeight="1" x14ac:dyDescent="0.3">
      <c r="C18" s="45"/>
      <c r="D18" s="45"/>
      <c r="E18" s="46"/>
      <c r="F18" s="46"/>
    </row>
    <row r="19" spans="3:6" ht="180" customHeight="1" x14ac:dyDescent="0.3">
      <c r="C19" s="45"/>
      <c r="D19" s="45"/>
      <c r="E19" s="46"/>
      <c r="F19" s="46"/>
    </row>
    <row r="20" spans="3:6" ht="180" customHeight="1" x14ac:dyDescent="0.3">
      <c r="C20" s="45"/>
      <c r="D20" s="45"/>
      <c r="E20" s="46"/>
      <c r="F20" s="46"/>
    </row>
    <row r="21" spans="3:6" ht="180" customHeight="1" x14ac:dyDescent="0.3">
      <c r="C21" s="45"/>
      <c r="D21" s="45"/>
      <c r="E21" s="46"/>
      <c r="F21" s="46"/>
    </row>
    <row r="22" spans="3:6" ht="180" customHeight="1" x14ac:dyDescent="0.3">
      <c r="C22" s="45"/>
      <c r="D22" s="45"/>
      <c r="E22" s="46"/>
      <c r="F22" s="46"/>
    </row>
    <row r="23" spans="3:6" ht="180" customHeight="1" x14ac:dyDescent="0.3">
      <c r="C23" s="45"/>
      <c r="D23" s="45"/>
      <c r="E23" s="46"/>
      <c r="F23" s="46"/>
    </row>
    <row r="24" spans="3:6" ht="180" customHeight="1" x14ac:dyDescent="0.3">
      <c r="C24" s="45"/>
      <c r="D24" s="45"/>
      <c r="E24" s="46"/>
      <c r="F24" s="46"/>
    </row>
    <row r="25" spans="3:6" ht="180" customHeight="1" x14ac:dyDescent="0.3">
      <c r="C25" s="45"/>
      <c r="D25" s="45"/>
      <c r="E25" s="46"/>
      <c r="F25" s="46"/>
    </row>
    <row r="26" spans="3:6" ht="180" customHeight="1" x14ac:dyDescent="0.3">
      <c r="C26" s="45"/>
      <c r="D26" s="45"/>
    </row>
    <row r="27" spans="3:6" ht="180" customHeight="1" x14ac:dyDescent="0.3">
      <c r="C27" s="45"/>
      <c r="D27" s="45"/>
    </row>
    <row r="28" spans="3:6" ht="180" customHeight="1" x14ac:dyDescent="0.3">
      <c r="C28" s="45"/>
      <c r="D28" s="45"/>
    </row>
  </sheetData>
  <mergeCells count="24">
    <mergeCell ref="E20:F20"/>
    <mergeCell ref="E21:F21"/>
    <mergeCell ref="E22:F22"/>
    <mergeCell ref="E23:F23"/>
    <mergeCell ref="E24:F24"/>
    <mergeCell ref="E25:F25"/>
    <mergeCell ref="E17:F17"/>
    <mergeCell ref="E18:F18"/>
    <mergeCell ref="E19:F19"/>
    <mergeCell ref="E14:F14"/>
    <mergeCell ref="E15:F15"/>
    <mergeCell ref="E16:F16"/>
    <mergeCell ref="E11:F11"/>
    <mergeCell ref="E12:F12"/>
    <mergeCell ref="E13:F13"/>
    <mergeCell ref="E8:F8"/>
    <mergeCell ref="E9:F9"/>
    <mergeCell ref="E10:F10"/>
    <mergeCell ref="E6:F6"/>
    <mergeCell ref="E7:F7"/>
    <mergeCell ref="E4:F4"/>
    <mergeCell ref="E5:F5"/>
    <mergeCell ref="E2:F2"/>
    <mergeCell ref="E3:F3"/>
  </mergeCells>
  <phoneticPr fontId="2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[1.요구량Tool_ve30.xlsm]출입문index!#REF!</xm:f>
          </x14:formula1>
          <xm:sqref>C13:C28</xm:sqref>
        </x14:dataValidation>
        <x14:dataValidation type="list" allowBlank="1" showInputMessage="1" showErrorMessage="1">
          <x14:formula1>
            <xm:f>[1.요구량Tool_ve30.xlsm]출입문index!#REF!</xm:f>
          </x14:formula1>
          <xm:sqref>D13:D28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E17"/>
  <sheetViews>
    <sheetView showGridLines="0" zoomScale="25" zoomScaleNormal="25" workbookViewId="0">
      <selection activeCell="Y15" sqref="Y15"/>
    </sheetView>
  </sheetViews>
  <sheetFormatPr defaultRowHeight="16.5" x14ac:dyDescent="0.3"/>
  <cols>
    <col min="2" max="2" width="12.375" bestFit="1" customWidth="1"/>
    <col min="3" max="3" width="12.375" customWidth="1"/>
    <col min="4" max="5" width="12.625" customWidth="1"/>
  </cols>
  <sheetData>
    <row r="1" spans="1:5" ht="22.5" customHeight="1" x14ac:dyDescent="0.3">
      <c r="A1" s="31" t="s">
        <v>0</v>
      </c>
      <c r="B1" s="32" t="s">
        <v>95</v>
      </c>
      <c r="C1" s="33"/>
      <c r="D1" s="33"/>
      <c r="E1" s="33"/>
    </row>
    <row r="2" spans="1:5" ht="180" customHeight="1" x14ac:dyDescent="0.3">
      <c r="A2" s="37">
        <v>1</v>
      </c>
      <c r="B2" s="38" t="str">
        <f>[1]출입문index!$B$21</f>
        <v>기존 출입문</v>
      </c>
      <c r="C2" s="39"/>
      <c r="D2" s="39"/>
      <c r="E2" s="40"/>
    </row>
    <row r="3" spans="1:5" ht="180" customHeight="1" x14ac:dyDescent="0.3">
      <c r="A3" s="37">
        <v>2</v>
      </c>
      <c r="B3" s="42"/>
      <c r="C3" s="43"/>
      <c r="D3" s="43"/>
      <c r="E3" s="44"/>
    </row>
    <row r="4" spans="1:5" ht="180" customHeight="1" x14ac:dyDescent="0.3">
      <c r="A4" s="37">
        <v>3</v>
      </c>
      <c r="B4" s="38" t="str">
        <f>[1]출입문index!$B$22</f>
        <v>신규</v>
      </c>
      <c r="C4" s="39"/>
      <c r="D4" s="39"/>
      <c r="E4" s="40"/>
    </row>
    <row r="5" spans="1:5" ht="180" customHeight="1" x14ac:dyDescent="0.3">
      <c r="A5" s="37">
        <v>4</v>
      </c>
      <c r="B5" s="42"/>
      <c r="C5" s="43"/>
      <c r="D5" s="43"/>
      <c r="E5" s="44"/>
    </row>
    <row r="6" spans="1:5" ht="180" customHeight="1" x14ac:dyDescent="0.3">
      <c r="A6" s="37">
        <v>5</v>
      </c>
      <c r="B6" s="38" t="str">
        <f>[1]출입문index!$B$23</f>
        <v>철거 후 신규</v>
      </c>
      <c r="C6" s="39"/>
      <c r="D6" s="39"/>
      <c r="E6" s="40"/>
    </row>
    <row r="7" spans="1:5" ht="180" customHeight="1" x14ac:dyDescent="0.3">
      <c r="A7" s="37">
        <v>6</v>
      </c>
      <c r="B7" s="42"/>
      <c r="C7" s="43"/>
      <c r="D7" s="43"/>
      <c r="E7" s="44"/>
    </row>
    <row r="8" spans="1:5" ht="180" customHeight="1" x14ac:dyDescent="0.3"/>
    <row r="9" spans="1:5" ht="180" customHeight="1" x14ac:dyDescent="0.3"/>
    <row r="10" spans="1:5" ht="180" customHeight="1" x14ac:dyDescent="0.3"/>
    <row r="11" spans="1:5" ht="180" customHeight="1" x14ac:dyDescent="0.3"/>
    <row r="12" spans="1:5" ht="180" customHeight="1" x14ac:dyDescent="0.3"/>
    <row r="13" spans="1:5" ht="180" customHeight="1" x14ac:dyDescent="0.3"/>
    <row r="14" spans="1:5" ht="180" customHeight="1" x14ac:dyDescent="0.3"/>
    <row r="15" spans="1:5" ht="180" customHeight="1" x14ac:dyDescent="0.3"/>
    <row r="16" spans="1:5" ht="180" customHeight="1" x14ac:dyDescent="0.3"/>
    <row r="17" ht="180" customHeight="1" x14ac:dyDescent="0.3"/>
  </sheetData>
  <mergeCells count="7">
    <mergeCell ref="B6:B7"/>
    <mergeCell ref="C6:E7"/>
    <mergeCell ref="B4:B5"/>
    <mergeCell ref="C4:E5"/>
    <mergeCell ref="B1:E1"/>
    <mergeCell ref="B2:B3"/>
    <mergeCell ref="C2:E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문</vt:lpstr>
      <vt:lpstr>설치열교</vt:lpstr>
      <vt:lpstr>이미지_문</vt:lpstr>
      <vt:lpstr>이미지_설치열교</vt:lpstr>
      <vt:lpstr>이미지_출입문유형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2023-04-28T01:37:11Z</dcterms:created>
  <dcterms:modified xsi:type="dcterms:W3CDTF">2023-04-28T02:22:08Z</dcterms:modified>
</cp:coreProperties>
</file>