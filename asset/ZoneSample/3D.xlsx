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170" windowHeight="10275"/>
  </bookViews>
  <sheets>
    <sheet name="ZoneGeneral_3D" sheetId="2" r:id="rId1"/>
    <sheet name="ZoneEnvelope_3D" sheetId="1" r:id="rId2"/>
    <sheet name="ThermalBridge_3D" sheetId="3" r:id="rId3"/>
    <sheet name="외피index" sheetId="4" r:id="rId4"/>
  </sheets>
  <calcPr calcId="162913"/>
</workbook>
</file>

<file path=xl/calcChain.xml><?xml version="1.0" encoding="utf-8"?>
<calcChain xmlns="http://schemas.openxmlformats.org/spreadsheetml/2006/main">
  <c r="A3" i="3" l="1"/>
  <c r="A4" i="3"/>
  <c r="A5" i="3"/>
  <c r="A6" i="3"/>
  <c r="A7" i="3"/>
  <c r="A8" i="3"/>
  <c r="A9" i="3"/>
  <c r="A10" i="3"/>
  <c r="A11" i="3"/>
  <c r="A12" i="3"/>
  <c r="A13" i="3"/>
  <c r="A14" i="3"/>
  <c r="A2" i="3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" i="2"/>
  <c r="B32" i="4"/>
  <c r="B33" i="4"/>
  <c r="B34" i="4"/>
  <c r="B35" i="4"/>
  <c r="B36" i="4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" i="1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37" i="4"/>
</calcChain>
</file>

<file path=xl/sharedStrings.xml><?xml version="1.0" encoding="utf-8"?>
<sst xmlns="http://schemas.openxmlformats.org/spreadsheetml/2006/main" count="1054" uniqueCount="120">
  <si>
    <t>번호</t>
  </si>
  <si>
    <t>층</t>
  </si>
  <si>
    <t>존</t>
  </si>
  <si>
    <t>외피유형</t>
  </si>
  <si>
    <t>커튼월부위</t>
  </si>
  <si>
    <t>면적</t>
  </si>
  <si>
    <t>인접존</t>
  </si>
  <si>
    <t>방위</t>
  </si>
  <si>
    <t>기울기</t>
  </si>
  <si>
    <t>우측면돌출길이</t>
  </si>
  <si>
    <t>좌측면돌출길이</t>
  </si>
  <si>
    <t>상부돌출길이</t>
  </si>
  <si>
    <t>주변요소음영길이</t>
  </si>
  <si>
    <t>벽체길이</t>
  </si>
  <si>
    <t>창호너비</t>
  </si>
  <si>
    <t>창호높이</t>
  </si>
  <si>
    <t>2F</t>
  </si>
  <si>
    <t>2F_Zone006</t>
  </si>
  <si>
    <t>층간바닥</t>
  </si>
  <si>
    <t>3F_Zone014</t>
  </si>
  <si>
    <t>수평</t>
  </si>
  <si>
    <t>2F_Zone007</t>
  </si>
  <si>
    <t>3F_Zone015</t>
  </si>
  <si>
    <t>2F_Zone011</t>
  </si>
  <si>
    <t>지붕</t>
  </si>
  <si>
    <t>2F_Zone008</t>
  </si>
  <si>
    <t>3F_Zone016</t>
  </si>
  <si>
    <t>2F_Zone009</t>
  </si>
  <si>
    <t>2F_Zone010</t>
  </si>
  <si>
    <t>3F_Zone017</t>
  </si>
  <si>
    <t>2F_Zone012</t>
  </si>
  <si>
    <t>3F_Zone019</t>
  </si>
  <si>
    <t>2F_Zone013</t>
  </si>
  <si>
    <t>3F_Zone020</t>
  </si>
  <si>
    <t>3F_Zone018</t>
  </si>
  <si>
    <t>3F</t>
  </si>
  <si>
    <t>4F_Zone021</t>
  </si>
  <si>
    <t>1F</t>
  </si>
  <si>
    <t>1F_Zone002</t>
  </si>
  <si>
    <t>1F_Zone003</t>
  </si>
  <si>
    <t>1F_Zone004</t>
  </si>
  <si>
    <t>4F</t>
  </si>
  <si>
    <t>1F_Zone005</t>
  </si>
  <si>
    <t>1F_Zone001</t>
  </si>
  <si>
    <t>최하층바닥</t>
  </si>
  <si>
    <t>내벽</t>
  </si>
  <si>
    <t>서</t>
  </si>
  <si>
    <t>외벽</t>
  </si>
  <si>
    <t>창호</t>
  </si>
  <si>
    <t>커튼월창</t>
  </si>
  <si>
    <t>유리부분</t>
  </si>
  <si>
    <t>외부출입문</t>
  </si>
  <si>
    <t>동</t>
  </si>
  <si>
    <t>남</t>
  </si>
  <si>
    <t>북</t>
  </si>
  <si>
    <t>바닥면적</t>
  </si>
  <si>
    <t>존번호</t>
  </si>
  <si>
    <t>열교항목</t>
  </si>
  <si>
    <t>열교길이</t>
  </si>
  <si>
    <t>평지붕+외벽[90]</t>
  </si>
  <si>
    <t>평지붕+내벽</t>
  </si>
  <si>
    <t>경사지붕</t>
  </si>
  <si>
    <t>경사지붕+벽</t>
  </si>
  <si>
    <t>경사지붕+경사벽</t>
  </si>
  <si>
    <t>슬라브+벽</t>
  </si>
  <si>
    <t>내벽+외벽</t>
  </si>
  <si>
    <t>외벽+외벽</t>
  </si>
  <si>
    <t>외벽+내벽+외벽</t>
  </si>
  <si>
    <t>평지붕+벽[270]</t>
  </si>
  <si>
    <t>평지붕+벽[270]+내벽</t>
  </si>
  <si>
    <t>TB2</t>
  </si>
  <si>
    <t>TB3</t>
  </si>
  <si>
    <t>TB4</t>
  </si>
  <si>
    <t>TB5</t>
  </si>
  <si>
    <t>TB6</t>
  </si>
  <si>
    <t>TB7</t>
  </si>
  <si>
    <t>TB8</t>
  </si>
  <si>
    <t>TB9</t>
  </si>
  <si>
    <t>TB10</t>
  </si>
  <si>
    <t>TB11</t>
  </si>
  <si>
    <t>외피 구조체 유형</t>
    <phoneticPr fontId="18" type="noConversion"/>
  </si>
  <si>
    <t>커튼월창</t>
    <phoneticPr fontId="18" type="noConversion"/>
  </si>
  <si>
    <t>외벽</t>
    <phoneticPr fontId="18" type="noConversion"/>
  </si>
  <si>
    <t>지붕</t>
    <phoneticPr fontId="18" type="noConversion"/>
  </si>
  <si>
    <t>최하층바닥</t>
    <phoneticPr fontId="18" type="noConversion"/>
  </si>
  <si>
    <t>창호</t>
    <phoneticPr fontId="18" type="noConversion"/>
  </si>
  <si>
    <t>외부출입문</t>
    <phoneticPr fontId="18" type="noConversion"/>
  </si>
  <si>
    <t>내벽</t>
    <phoneticPr fontId="18" type="noConversion"/>
  </si>
  <si>
    <t>층간바닥</t>
    <phoneticPr fontId="18" type="noConversion"/>
  </si>
  <si>
    <t>CW</t>
    <phoneticPr fontId="18" type="noConversion"/>
  </si>
  <si>
    <t>WL</t>
    <phoneticPr fontId="18" type="noConversion"/>
  </si>
  <si>
    <t>RF</t>
    <phoneticPr fontId="18" type="noConversion"/>
  </si>
  <si>
    <t>FR</t>
    <phoneticPr fontId="18" type="noConversion"/>
  </si>
  <si>
    <t>WIN</t>
    <phoneticPr fontId="18" type="noConversion"/>
  </si>
  <si>
    <t>DR</t>
    <phoneticPr fontId="18" type="noConversion"/>
  </si>
  <si>
    <t>IW</t>
    <phoneticPr fontId="18" type="noConversion"/>
  </si>
  <si>
    <t>SL</t>
    <phoneticPr fontId="18" type="noConversion"/>
  </si>
  <si>
    <t>방위</t>
    <phoneticPr fontId="18" type="noConversion"/>
  </si>
  <si>
    <t>수평</t>
    <phoneticPr fontId="18" type="noConversion"/>
  </si>
  <si>
    <t>남동</t>
  </si>
  <si>
    <t>남서</t>
  </si>
  <si>
    <t>북서</t>
  </si>
  <si>
    <t>북동</t>
  </si>
  <si>
    <t>-</t>
    <phoneticPr fontId="18" type="noConversion"/>
  </si>
  <si>
    <t>커튼월 부위</t>
    <phoneticPr fontId="18" type="noConversion"/>
  </si>
  <si>
    <t>유리부분</t>
    <phoneticPr fontId="18" type="noConversion"/>
  </si>
  <si>
    <t>패널부분</t>
    <phoneticPr fontId="18" type="noConversion"/>
  </si>
  <si>
    <t>출입문부분</t>
    <phoneticPr fontId="18" type="noConversion"/>
  </si>
  <si>
    <t>-</t>
    <phoneticPr fontId="18" type="noConversion"/>
  </si>
  <si>
    <t>층</t>
    <phoneticPr fontId="18" type="noConversion"/>
  </si>
  <si>
    <t>B5</t>
    <phoneticPr fontId="18" type="noConversion"/>
  </si>
  <si>
    <t>B4</t>
    <phoneticPr fontId="18" type="noConversion"/>
  </si>
  <si>
    <t>B3</t>
  </si>
  <si>
    <t>B2</t>
  </si>
  <si>
    <t>B1</t>
  </si>
  <si>
    <t>평지붕+외벽[90]</t>
    <phoneticPr fontId="18" type="noConversion"/>
  </si>
  <si>
    <t>평지붕+벽[270]</t>
    <phoneticPr fontId="18" type="noConversion"/>
  </si>
  <si>
    <t>열교항목</t>
    <phoneticPr fontId="18" type="noConversion"/>
  </si>
  <si>
    <t>번호</t>
    <phoneticPr fontId="18" type="noConversion"/>
  </si>
  <si>
    <t>TB1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</si>
</sst>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theme="1" tint="0.499984740745262"/>
      </left>
      <right/>
      <top style="hair">
        <color theme="1" tint="0.499984740745262"/>
      </top>
      <bottom style="hair">
        <color theme="1" tint="0.499984740745262"/>
      </bottom>
      <diagonal/>
    </border>
    <border>
      <left/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35" borderId="0" xfId="0" applyFill="1">
      <alignment vertical="center"/>
    </xf>
    <xf numFmtId="0" fontId="0" fillId="37" borderId="0" xfId="0" applyFill="1">
      <alignment vertical="center"/>
    </xf>
    <xf numFmtId="0" fontId="0" fillId="34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0" fillId="37" borderId="0" xfId="0" applyFill="1" applyAlignment="1">
      <alignment horizontal="center" vertical="center"/>
    </xf>
    <xf numFmtId="0" fontId="0" fillId="38" borderId="11" xfId="0" applyFill="1" applyBorder="1" applyAlignment="1">
      <alignment horizontal="center" vertical="center"/>
    </xf>
    <xf numFmtId="0" fontId="0" fillId="38" borderId="1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5" borderId="13" xfId="0" applyFill="1" applyBorder="1">
      <alignment vertical="center"/>
    </xf>
    <xf numFmtId="0" fontId="0" fillId="38" borderId="14" xfId="0" applyFill="1" applyBorder="1" applyAlignment="1">
      <alignment horizontal="center" vertical="center"/>
    </xf>
    <xf numFmtId="0" fontId="0" fillId="35" borderId="14" xfId="0" applyFill="1" applyBorder="1">
      <alignment vertical="center"/>
    </xf>
    <xf numFmtId="0" fontId="0" fillId="39" borderId="10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32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>
          <bgColor theme="5" tint="0.79998168889431442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tabSelected="1" workbookViewId="0">
      <selection activeCell="C2" sqref="C2"/>
    </sheetView>
  </sheetViews>
  <sheetFormatPr defaultRowHeight="16.5" x14ac:dyDescent="0.3"/>
  <cols>
    <col min="1" max="1" width="11.625" style="2" bestFit="1" customWidth="1"/>
    <col min="2" max="16384" width="9" style="2"/>
  </cols>
  <sheetData>
    <row r="1" spans="1:3" x14ac:dyDescent="0.3">
      <c r="A1" s="14" t="s">
        <v>56</v>
      </c>
      <c r="B1" s="14" t="s">
        <v>1</v>
      </c>
      <c r="C1" s="14" t="s">
        <v>55</v>
      </c>
    </row>
    <row r="2" spans="1:3" x14ac:dyDescent="0.3">
      <c r="A2" s="12" t="str">
        <f>IFERROR(IF(B2="","",IF(ROW(B2)-1&gt;99,B2&amp;"F_Zone"&amp;ROW(B2)-1,IF(ROW(B2)-1&gt;9, B2&amp;"F_Zone0"&amp;ROW(B2)-1,B2&amp;"F_Zone00"&amp;ROW(B2)-1))),"")</f>
        <v>1F_Zone001</v>
      </c>
      <c r="B2" s="13">
        <v>1</v>
      </c>
      <c r="C2" s="3">
        <v>42.639959109999999</v>
      </c>
    </row>
    <row r="3" spans="1:3" x14ac:dyDescent="0.3">
      <c r="A3" s="12" t="str">
        <f t="shared" ref="A3:A21" si="0">IFERROR(IF(B3="","",IF(ROW(B3)-1&gt;99,B3&amp;"F_Zone"&amp;ROW(B3)-1,IF(ROW(B3)-1&gt;9, B3&amp;"F_Zone0"&amp;ROW(B3)-1,B3&amp;"F_Zone00"&amp;ROW(B3)-1))),"")</f>
        <v>1F_Zone002</v>
      </c>
      <c r="B3" s="13">
        <v>1</v>
      </c>
      <c r="C3" s="3">
        <v>24.079942630000001</v>
      </c>
    </row>
    <row r="4" spans="1:3" x14ac:dyDescent="0.3">
      <c r="A4" s="12" t="str">
        <f t="shared" si="0"/>
        <v>1F_Zone003</v>
      </c>
      <c r="B4" s="13">
        <v>1</v>
      </c>
      <c r="C4" s="3">
        <v>10.92005737</v>
      </c>
    </row>
    <row r="5" spans="1:3" x14ac:dyDescent="0.3">
      <c r="A5" s="12" t="str">
        <f t="shared" si="0"/>
        <v>1F_Zone004</v>
      </c>
      <c r="B5" s="13">
        <v>1</v>
      </c>
      <c r="C5" s="3">
        <v>3.7170383149999999</v>
      </c>
    </row>
    <row r="6" spans="1:3" x14ac:dyDescent="0.3">
      <c r="A6" s="12" t="str">
        <f t="shared" si="0"/>
        <v>2F_Zone005</v>
      </c>
      <c r="B6" s="13">
        <v>2</v>
      </c>
      <c r="C6" s="3">
        <v>42.639959109999999</v>
      </c>
    </row>
    <row r="7" spans="1:3" x14ac:dyDescent="0.3">
      <c r="A7" s="12" t="str">
        <f t="shared" si="0"/>
        <v>2F_Zone006</v>
      </c>
      <c r="B7" s="13">
        <v>2</v>
      </c>
      <c r="C7" s="3">
        <v>22.879954829999999</v>
      </c>
    </row>
    <row r="8" spans="1:3" x14ac:dyDescent="0.3">
      <c r="A8" s="12" t="str">
        <f t="shared" si="0"/>
        <v>2F_Zone007</v>
      </c>
      <c r="B8" s="13">
        <v>2</v>
      </c>
      <c r="C8" s="3">
        <v>23.68491882</v>
      </c>
    </row>
    <row r="9" spans="1:3" x14ac:dyDescent="0.3">
      <c r="A9" s="12" t="str">
        <f t="shared" si="0"/>
        <v>2F_Zone008</v>
      </c>
      <c r="B9" s="13">
        <v>2</v>
      </c>
      <c r="C9" s="3">
        <v>14.040055239999999</v>
      </c>
    </row>
    <row r="10" spans="1:3" x14ac:dyDescent="0.3">
      <c r="A10" s="12" t="str">
        <f t="shared" si="0"/>
        <v>2F_Zone009</v>
      </c>
      <c r="B10" s="13">
        <v>2</v>
      </c>
      <c r="C10" s="3">
        <v>13.23002121</v>
      </c>
    </row>
    <row r="11" spans="1:3" x14ac:dyDescent="0.3">
      <c r="A11" s="12" t="str">
        <f t="shared" si="0"/>
        <v>2F_Zone010</v>
      </c>
      <c r="B11" s="13">
        <v>2</v>
      </c>
      <c r="C11" s="3">
        <v>18.200042719999999</v>
      </c>
    </row>
    <row r="12" spans="1:3" x14ac:dyDescent="0.3">
      <c r="A12" s="12" t="str">
        <f t="shared" si="0"/>
        <v>2F_Zone011</v>
      </c>
      <c r="B12" s="13">
        <v>2</v>
      </c>
      <c r="C12" s="3">
        <v>10.58505997</v>
      </c>
    </row>
    <row r="13" spans="1:3" x14ac:dyDescent="0.3">
      <c r="A13" s="12" t="str">
        <f t="shared" si="0"/>
        <v>2F_Zone012</v>
      </c>
      <c r="B13" s="13">
        <v>2</v>
      </c>
      <c r="C13" s="3">
        <v>4.7999877929999997</v>
      </c>
    </row>
    <row r="14" spans="1:3" x14ac:dyDescent="0.3">
      <c r="A14" s="12" t="str">
        <f t="shared" si="0"/>
        <v>3F_Zone013</v>
      </c>
      <c r="B14" s="13">
        <v>3</v>
      </c>
      <c r="C14" s="3">
        <v>28.080031129999998</v>
      </c>
    </row>
    <row r="15" spans="1:3" x14ac:dyDescent="0.3">
      <c r="A15" s="12" t="str">
        <f t="shared" si="0"/>
        <v>3F_Zone014</v>
      </c>
      <c r="B15" s="13">
        <v>3</v>
      </c>
      <c r="C15" s="3">
        <v>36.920010069999996</v>
      </c>
    </row>
    <row r="16" spans="1:3" x14ac:dyDescent="0.3">
      <c r="A16" s="12" t="str">
        <f t="shared" si="0"/>
        <v>3F_Zone015</v>
      </c>
      <c r="B16" s="13">
        <v>3</v>
      </c>
      <c r="C16" s="3">
        <v>21.329957889999999</v>
      </c>
    </row>
    <row r="17" spans="1:3" x14ac:dyDescent="0.3">
      <c r="A17" s="12" t="str">
        <f t="shared" si="0"/>
        <v>3F_Zone016</v>
      </c>
      <c r="B17" s="13">
        <v>3</v>
      </c>
      <c r="C17" s="3">
        <v>8.6799365240000004</v>
      </c>
    </row>
    <row r="18" spans="1:3" x14ac:dyDescent="0.3">
      <c r="A18" s="12" t="str">
        <f t="shared" si="0"/>
        <v>3F_Zone017</v>
      </c>
      <c r="B18" s="13">
        <v>3</v>
      </c>
      <c r="C18" s="3">
        <v>3.779978485</v>
      </c>
    </row>
    <row r="19" spans="1:3" x14ac:dyDescent="0.3">
      <c r="A19" s="12" t="str">
        <f t="shared" si="0"/>
        <v>3F_Zone018</v>
      </c>
      <c r="B19" s="13">
        <v>3</v>
      </c>
      <c r="C19" s="3">
        <v>8.4539934690000003</v>
      </c>
    </row>
    <row r="20" spans="1:3" x14ac:dyDescent="0.3">
      <c r="A20" s="12" t="str">
        <f t="shared" si="0"/>
        <v>3F_Zone019</v>
      </c>
      <c r="B20" s="13">
        <v>3</v>
      </c>
      <c r="C20" s="3">
        <v>6.1559902040000001</v>
      </c>
    </row>
    <row r="21" spans="1:3" x14ac:dyDescent="0.3">
      <c r="A21" s="12" t="str">
        <f t="shared" si="0"/>
        <v>4F_Zone020</v>
      </c>
      <c r="B21" s="13">
        <v>4</v>
      </c>
      <c r="C21" s="3">
        <v>16.799957280000001</v>
      </c>
    </row>
  </sheetData>
  <phoneticPr fontId="18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외피index!$A$32:$A$66</xm:f>
          </x14:formula1>
          <xm:sqref>B2:B21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3"/>
  <sheetViews>
    <sheetView topLeftCell="A166" workbookViewId="0">
      <selection activeCell="O174" sqref="O174:P203"/>
    </sheetView>
  </sheetViews>
  <sheetFormatPr defaultRowHeight="16.5" x14ac:dyDescent="0.3"/>
  <cols>
    <col min="1" max="1" width="18.5" style="2" bestFit="1" customWidth="1"/>
    <col min="2" max="2" width="3.375" style="2" bestFit="1" customWidth="1"/>
    <col min="3" max="3" width="11.625" style="2" bestFit="1" customWidth="1"/>
    <col min="4" max="5" width="11" style="2" bestFit="1" customWidth="1"/>
    <col min="6" max="6" width="12.75" style="2" bestFit="1" customWidth="1"/>
    <col min="7" max="7" width="11.625" style="2" bestFit="1" customWidth="1"/>
    <col min="8" max="8" width="5.25" style="2" bestFit="1" customWidth="1"/>
    <col min="9" max="9" width="7.125" style="2" bestFit="1" customWidth="1"/>
    <col min="10" max="11" width="15.125" style="2" bestFit="1" customWidth="1"/>
    <col min="12" max="12" width="13" style="2" bestFit="1" customWidth="1"/>
    <col min="13" max="13" width="17.25" style="2" bestFit="1" customWidth="1"/>
    <col min="14" max="16" width="12.75" style="2" bestFit="1" customWidth="1"/>
    <col min="17" max="16384" width="9" style="2"/>
  </cols>
  <sheetData>
    <row r="1" spans="1:16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</row>
    <row r="2" spans="1:16" x14ac:dyDescent="0.3">
      <c r="A2" s="12" t="str">
        <f>IFERROR(IF(D2="","",C2&amp;"_"&amp;
IF($D2=외피index!$B$3, 외피index!$C$3&amp;"_"&amp;COUNTIFS(D2:$D$2,외피index!$B$3,C2:$C$2,C2),
IF($D2=외피index!$B$4, 외피index!$C$4&amp;"_"&amp;COUNTIFS(D2:$D$2,외피index!$B$4,C2:$C$2,C2),
IF($D2=외피index!$B$5, 외피index!$C$5&amp;"_"&amp;COUNTIFS(D2:$D$2,외피index!$B$5,C2:$C$2,C2),
IF($D2=외피index!$B$6, 외피index!$C$6&amp;"_"&amp;COUNTIFS(D2:$D$2,외피index!$B$6,C2:$C$2,C2),
IF($D2=외피index!$B$7, 외피index!$C$7&amp;"_"&amp;COUNTIFS(D2:$D$2,외피index!$B$7,C2:$C$2,C2),
IF($D2=외피index!$B$8, 외피index!$C$8&amp;"_"&amp;COUNTIFS(D2:$D$2,외피index!$B$8,C2:$C$2,C2),
IF($D2=외피index!$B$9, 외피index!$C$9&amp;"_"&amp;COUNTIFS(D2:$D$2,외피index!$B$9,C2:$C$2,C2),
IF($D2=외피index!$B$10, 외피index!$C$10&amp;"_"&amp;COUNTIFS(D2:$D$2,외피index!$B$10,C2:$C$2,C2), 0))))))))),"")</f>
        <v>2F_Zone006_SL_1</v>
      </c>
      <c r="B2" s="13" t="s">
        <v>16</v>
      </c>
      <c r="C2" s="13" t="s">
        <v>17</v>
      </c>
      <c r="D2" s="13" t="s">
        <v>18</v>
      </c>
      <c r="E2" s="4"/>
      <c r="F2" s="3">
        <v>28.080031127901702</v>
      </c>
      <c r="G2" s="4" t="s">
        <v>19</v>
      </c>
      <c r="H2" s="13" t="s">
        <v>20</v>
      </c>
      <c r="I2" s="3">
        <v>180</v>
      </c>
      <c r="J2" s="4"/>
      <c r="K2" s="4"/>
      <c r="L2" s="4"/>
      <c r="M2" s="4"/>
      <c r="N2" s="4"/>
      <c r="O2" s="4"/>
      <c r="P2" s="4"/>
    </row>
    <row r="3" spans="1:16" x14ac:dyDescent="0.3">
      <c r="A3" s="12" t="str">
        <f>IFERROR(IF(D3="","",C3&amp;"_"&amp;
IF($D3=외피index!$B$3, 외피index!$C$3&amp;"_"&amp;COUNTIFS(D$2:$D3,외피index!$B$3,C$2:$C3,C3),
IF($D3=외피index!$B$4, 외피index!$C$4&amp;"_"&amp;COUNTIFS(D$2:$D3,외피index!$B$4,C$2:$C3,C3),
IF($D3=외피index!$B$5, 외피index!$C$5&amp;"_"&amp;COUNTIFS(D$2:$D3,외피index!$B$5,C$2:$C3,C3),
IF($D3=외피index!$B$6, 외피index!$C$6&amp;"_"&amp;COUNTIFS(D$2:$D3,외피index!$B$6,C$2:$C3,C3),
IF($D3=외피index!$B$7, 외피index!$C$7&amp;"_"&amp;COUNTIFS(D$2:$D3,외피index!$B$7,C$2:$C3,C3),
IF($D3=외피index!$B$8, 외피index!$C$8&amp;"_"&amp;COUNTIFS(D$2:$D3,외피index!$B$8,C$2:$C3,C3),
IF($D3=외피index!$B$9, 외피index!$C$9&amp;"_"&amp;COUNTIFS(D$2:$D3,외피index!$B$9,C$2:$C3,C3),
IF($D3=외피index!$B$10, 외피index!$C$10&amp;"_"&amp;COUNTIFS(D$2:$D3,외피index!$B$10,C$2:$C3,C3), 0))))))))),"")</f>
        <v>2F_Zone007_SL_1</v>
      </c>
      <c r="B3" s="13" t="s">
        <v>16</v>
      </c>
      <c r="C3" s="13" t="s">
        <v>21</v>
      </c>
      <c r="D3" s="13" t="s">
        <v>18</v>
      </c>
      <c r="E3" s="4"/>
      <c r="F3" s="3">
        <v>22.879954834003001</v>
      </c>
      <c r="G3" s="4" t="s">
        <v>22</v>
      </c>
      <c r="H3" s="13" t="s">
        <v>20</v>
      </c>
      <c r="I3" s="3">
        <v>180</v>
      </c>
      <c r="J3" s="4"/>
      <c r="K3" s="4"/>
      <c r="L3" s="4"/>
      <c r="M3" s="4"/>
      <c r="N3" s="4"/>
      <c r="O3" s="4"/>
      <c r="P3" s="4"/>
    </row>
    <row r="4" spans="1:16" x14ac:dyDescent="0.3">
      <c r="A4" s="12" t="str">
        <f>IFERROR(IF(D4="","",C4&amp;"_"&amp;
IF($D4=외피index!$B$3, 외피index!$C$3&amp;"_"&amp;COUNTIFS(D$2:$D4,외피index!$B$3,C$2:$C4,C4),
IF($D4=외피index!$B$4, 외피index!$C$4&amp;"_"&amp;COUNTIFS(D$2:$D4,외피index!$B$4,C$2:$C4,C4),
IF($D4=외피index!$B$5, 외피index!$C$5&amp;"_"&amp;COUNTIFS(D$2:$D4,외피index!$B$5,C$2:$C4,C4),
IF($D4=외피index!$B$6, 외피index!$C$6&amp;"_"&amp;COUNTIFS(D$2:$D4,외피index!$B$6,C$2:$C4,C4),
IF($D4=외피index!$B$7, 외피index!$C$7&amp;"_"&amp;COUNTIFS(D$2:$D4,외피index!$B$7,C$2:$C4,C4),
IF($D4=외피index!$B$8, 외피index!$C$8&amp;"_"&amp;COUNTIFS(D$2:$D4,외피index!$B$8,C$2:$C4,C4),
IF($D4=외피index!$B$9, 외피index!$C$9&amp;"_"&amp;COUNTIFS(D$2:$D4,외피index!$B$9,C$2:$C4,C4),
IF($D4=외피index!$B$10, 외피index!$C$10&amp;"_"&amp;COUNTIFS(D$2:$D4,외피index!$B$10,C$2:$C4,C4), 0))))))))),"")</f>
        <v>2F_Zone011_RF_1</v>
      </c>
      <c r="B4" s="13" t="s">
        <v>16</v>
      </c>
      <c r="C4" s="13" t="s">
        <v>23</v>
      </c>
      <c r="D4" s="13" t="s">
        <v>24</v>
      </c>
      <c r="E4" s="4"/>
      <c r="F4" s="3">
        <v>18.2000427246093</v>
      </c>
      <c r="G4" s="4"/>
      <c r="H4" s="13" t="s">
        <v>20</v>
      </c>
      <c r="I4" s="3">
        <v>0</v>
      </c>
      <c r="J4" s="4"/>
      <c r="K4" s="4"/>
      <c r="L4" s="4"/>
      <c r="M4" s="4"/>
      <c r="N4" s="4"/>
      <c r="O4" s="4"/>
      <c r="P4" s="4"/>
    </row>
    <row r="5" spans="1:16" x14ac:dyDescent="0.3">
      <c r="A5" s="12" t="str">
        <f>IFERROR(IF(D5="","",C5&amp;"_"&amp;
IF($D5=외피index!$B$3, 외피index!$C$3&amp;"_"&amp;COUNTIFS(D$2:$D5,외피index!$B$3,C$2:$C5,C5),
IF($D5=외피index!$B$4, 외피index!$C$4&amp;"_"&amp;COUNTIFS(D$2:$D5,외피index!$B$4,C$2:$C5,C5),
IF($D5=외피index!$B$5, 외피index!$C$5&amp;"_"&amp;COUNTIFS(D$2:$D5,외피index!$B$5,C$2:$C5,C5),
IF($D5=외피index!$B$6, 외피index!$C$6&amp;"_"&amp;COUNTIFS(D$2:$D5,외피index!$B$6,C$2:$C5,C5),
IF($D5=외피index!$B$7, 외피index!$C$7&amp;"_"&amp;COUNTIFS(D$2:$D5,외피index!$B$7,C$2:$C5,C5),
IF($D5=외피index!$B$8, 외피index!$C$8&amp;"_"&amp;COUNTIFS(D$2:$D5,외피index!$B$8,C$2:$C5,C5),
IF($D5=외피index!$B$9, 외피index!$C$9&amp;"_"&amp;COUNTIFS(D$2:$D5,외피index!$B$9,C$2:$C5,C5),
IF($D5=외피index!$B$10, 외피index!$C$10&amp;"_"&amp;COUNTIFS(D$2:$D5,외피index!$B$10,C$2:$C5,C5), 0))))))))),"")</f>
        <v>2F_Zone008_SL_1</v>
      </c>
      <c r="B5" s="13" t="s">
        <v>16</v>
      </c>
      <c r="C5" s="13" t="s">
        <v>25</v>
      </c>
      <c r="D5" s="13" t="s">
        <v>18</v>
      </c>
      <c r="E5" s="4"/>
      <c r="F5" s="3">
        <v>15.449966430664</v>
      </c>
      <c r="G5" s="4" t="s">
        <v>26</v>
      </c>
      <c r="H5" s="13" t="s">
        <v>20</v>
      </c>
      <c r="I5" s="3">
        <v>0</v>
      </c>
      <c r="J5" s="4"/>
      <c r="K5" s="4"/>
      <c r="L5" s="4"/>
      <c r="M5" s="4"/>
      <c r="N5" s="4"/>
      <c r="O5" s="4"/>
      <c r="P5" s="4"/>
    </row>
    <row r="6" spans="1:16" x14ac:dyDescent="0.3">
      <c r="A6" s="12" t="str">
        <f>IFERROR(IF(D6="","",C6&amp;"_"&amp;
IF($D6=외피index!$B$3, 외피index!$C$3&amp;"_"&amp;COUNTIFS(D$2:$D6,외피index!$B$3,C$2:$C6,C6),
IF($D6=외피index!$B$4, 외피index!$C$4&amp;"_"&amp;COUNTIFS(D$2:$D6,외피index!$B$4,C$2:$C6,C6),
IF($D6=외피index!$B$5, 외피index!$C$5&amp;"_"&amp;COUNTIFS(D$2:$D6,외피index!$B$5,C$2:$C6,C6),
IF($D6=외피index!$B$6, 외피index!$C$6&amp;"_"&amp;COUNTIFS(D$2:$D6,외피index!$B$6,C$2:$C6,C6),
IF($D6=외피index!$B$7, 외피index!$C$7&amp;"_"&amp;COUNTIFS(D$2:$D6,외피index!$B$7,C$2:$C6,C6),
IF($D6=외피index!$B$8, 외피index!$C$8&amp;"_"&amp;COUNTIFS(D$2:$D6,외피index!$B$8,C$2:$C6,C6),
IF($D6=외피index!$B$9, 외피index!$C$9&amp;"_"&amp;COUNTIFS(D$2:$D6,외피index!$B$9,C$2:$C6,C6),
IF($D6=외피index!$B$10, 외피index!$C$10&amp;"_"&amp;COUNTIFS(D$2:$D6,외피index!$B$10,C$2:$C6,C6), 0))))))))),"")</f>
        <v>2F_Zone009_SL_1</v>
      </c>
      <c r="B6" s="13" t="s">
        <v>16</v>
      </c>
      <c r="C6" s="13" t="s">
        <v>27</v>
      </c>
      <c r="D6" s="13" t="s">
        <v>18</v>
      </c>
      <c r="E6" s="4"/>
      <c r="F6" s="3">
        <v>14.0400552367791</v>
      </c>
      <c r="G6" s="4" t="s">
        <v>22</v>
      </c>
      <c r="H6" s="13" t="s">
        <v>20</v>
      </c>
      <c r="I6" s="3">
        <v>180</v>
      </c>
      <c r="J6" s="4"/>
      <c r="K6" s="4"/>
      <c r="L6" s="4"/>
      <c r="M6" s="4"/>
      <c r="N6" s="4"/>
      <c r="O6" s="4"/>
      <c r="P6" s="4"/>
    </row>
    <row r="7" spans="1:16" x14ac:dyDescent="0.3">
      <c r="A7" s="12" t="str">
        <f>IFERROR(IF(D7="","",C7&amp;"_"&amp;
IF($D7=외피index!$B$3, 외피index!$C$3&amp;"_"&amp;COUNTIFS(D$2:$D7,외피index!$B$3,C$2:$C7,C7),
IF($D7=외피index!$B$4, 외피index!$C$4&amp;"_"&amp;COUNTIFS(D$2:$D7,외피index!$B$4,C$2:$C7,C7),
IF($D7=외피index!$B$5, 외피index!$C$5&amp;"_"&amp;COUNTIFS(D$2:$D7,외피index!$B$5,C$2:$C7,C7),
IF($D7=외피index!$B$6, 외피index!$C$6&amp;"_"&amp;COUNTIFS(D$2:$D7,외피index!$B$6,C$2:$C7,C7),
IF($D7=외피index!$B$7, 외피index!$C$7&amp;"_"&amp;COUNTIFS(D$2:$D7,외피index!$B$7,C$2:$C7,C7),
IF($D7=외피index!$B$8, 외피index!$C$8&amp;"_"&amp;COUNTIFS(D$2:$D7,외피index!$B$8,C$2:$C7,C7),
IF($D7=외피index!$B$9, 외피index!$C$9&amp;"_"&amp;COUNTIFS(D$2:$D7,외피index!$B$9,C$2:$C7,C7),
IF($D7=외피index!$B$10, 외피index!$C$10&amp;"_"&amp;COUNTIFS(D$2:$D7,외피index!$B$10,C$2:$C7,C7), 0))))))))),"")</f>
        <v>2F_Zone010_RF_1</v>
      </c>
      <c r="B7" s="13" t="s">
        <v>16</v>
      </c>
      <c r="C7" s="13" t="s">
        <v>28</v>
      </c>
      <c r="D7" s="13" t="s">
        <v>24</v>
      </c>
      <c r="E7" s="4"/>
      <c r="F7" s="3">
        <v>10.920017700176601</v>
      </c>
      <c r="G7" s="4"/>
      <c r="H7" s="13" t="s">
        <v>20</v>
      </c>
      <c r="I7" s="3">
        <v>0</v>
      </c>
      <c r="J7" s="4"/>
      <c r="K7" s="4"/>
      <c r="L7" s="4"/>
      <c r="M7" s="4"/>
      <c r="N7" s="4"/>
      <c r="O7" s="4"/>
      <c r="P7" s="4"/>
    </row>
    <row r="8" spans="1:16" x14ac:dyDescent="0.3">
      <c r="A8" s="12" t="str">
        <f>IFERROR(IF(D8="","",C8&amp;"_"&amp;
IF($D8=외피index!$B$3, 외피index!$C$3&amp;"_"&amp;COUNTIFS(D$2:$D8,외피index!$B$3,C$2:$C8,C8),
IF($D8=외피index!$B$4, 외피index!$C$4&amp;"_"&amp;COUNTIFS(D$2:$D8,외피index!$B$4,C$2:$C8,C8),
IF($D8=외피index!$B$5, 외피index!$C$5&amp;"_"&amp;COUNTIFS(D$2:$D8,외피index!$B$5,C$2:$C8,C8),
IF($D8=외피index!$B$6, 외피index!$C$6&amp;"_"&amp;COUNTIFS(D$2:$D8,외피index!$B$6,C$2:$C8,C8),
IF($D8=외피index!$B$7, 외피index!$C$7&amp;"_"&amp;COUNTIFS(D$2:$D8,외피index!$B$7,C$2:$C8,C8),
IF($D8=외피index!$B$8, 외피index!$C$8&amp;"_"&amp;COUNTIFS(D$2:$D8,외피index!$B$8,C$2:$C8,C8),
IF($D8=외피index!$B$9, 외피index!$C$9&amp;"_"&amp;COUNTIFS(D$2:$D8,외피index!$B$9,C$2:$C8,C8),
IF($D8=외피index!$B$10, 외피index!$C$10&amp;"_"&amp;COUNTIFS(D$2:$D8,외피index!$B$10,C$2:$C8,C8), 0))))))))),"")</f>
        <v>2F_Zone006_SL_2</v>
      </c>
      <c r="B8" s="13" t="s">
        <v>16</v>
      </c>
      <c r="C8" s="13" t="s">
        <v>17</v>
      </c>
      <c r="D8" s="13" t="s">
        <v>18</v>
      </c>
      <c r="E8" s="4"/>
      <c r="F8" s="3">
        <v>8.6799365235492498</v>
      </c>
      <c r="G8" s="4" t="s">
        <v>29</v>
      </c>
      <c r="H8" s="13" t="s">
        <v>20</v>
      </c>
      <c r="I8" s="3">
        <v>180</v>
      </c>
      <c r="J8" s="4"/>
      <c r="K8" s="4"/>
      <c r="L8" s="4"/>
      <c r="M8" s="4"/>
      <c r="N8" s="4"/>
      <c r="O8" s="4"/>
      <c r="P8" s="4"/>
    </row>
    <row r="9" spans="1:16" x14ac:dyDescent="0.3">
      <c r="A9" s="12" t="str">
        <f>IFERROR(IF(D9="","",C9&amp;"_"&amp;
IF($D9=외피index!$B$3, 외피index!$C$3&amp;"_"&amp;COUNTIFS(D$2:$D9,외피index!$B$3,C$2:$C9,C9),
IF($D9=외피index!$B$4, 외피index!$C$4&amp;"_"&amp;COUNTIFS(D$2:$D9,외피index!$B$4,C$2:$C9,C9),
IF($D9=외피index!$B$5, 외피index!$C$5&amp;"_"&amp;COUNTIFS(D$2:$D9,외피index!$B$5,C$2:$C9,C9),
IF($D9=외피index!$B$6, 외피index!$C$6&amp;"_"&amp;COUNTIFS(D$2:$D9,외피index!$B$6,C$2:$C9,C9),
IF($D9=외피index!$B$7, 외피index!$C$7&amp;"_"&amp;COUNTIFS(D$2:$D9,외피index!$B$7,C$2:$C9,C9),
IF($D9=외피index!$B$8, 외피index!$C$8&amp;"_"&amp;COUNTIFS(D$2:$D9,외피index!$B$8,C$2:$C9,C9),
IF($D9=외피index!$B$9, 외피index!$C$9&amp;"_"&amp;COUNTIFS(D$2:$D9,외피index!$B$9,C$2:$C9,C9),
IF($D9=외피index!$B$10, 외피index!$C$10&amp;"_"&amp;COUNTIFS(D$2:$D9,외피index!$B$10,C$2:$C9,C9), 0))))))))),"")</f>
        <v>2F_Zone012_RF_1</v>
      </c>
      <c r="B9" s="13" t="s">
        <v>16</v>
      </c>
      <c r="C9" s="13" t="s">
        <v>30</v>
      </c>
      <c r="D9" s="13" t="s">
        <v>24</v>
      </c>
      <c r="E9" s="4"/>
      <c r="F9" s="3">
        <v>7.5400415039621196</v>
      </c>
      <c r="G9" s="4"/>
      <c r="H9" s="13" t="s">
        <v>20</v>
      </c>
      <c r="I9" s="3">
        <v>0</v>
      </c>
      <c r="J9" s="4"/>
      <c r="K9" s="4"/>
      <c r="L9" s="4"/>
      <c r="M9" s="4"/>
      <c r="N9" s="4"/>
      <c r="O9" s="4"/>
      <c r="P9" s="4"/>
    </row>
    <row r="10" spans="1:16" x14ac:dyDescent="0.3">
      <c r="A10" s="12" t="str">
        <f>IFERROR(IF(D10="","",C10&amp;"_"&amp;
IF($D10=외피index!$B$3, 외피index!$C$3&amp;"_"&amp;COUNTIFS(D$2:$D10,외피index!$B$3,C$2:$C10,C10),
IF($D10=외피index!$B$4, 외피index!$C$4&amp;"_"&amp;COUNTIFS(D$2:$D10,외피index!$B$4,C$2:$C10,C10),
IF($D10=외피index!$B$5, 외피index!$C$5&amp;"_"&amp;COUNTIFS(D$2:$D10,외피index!$B$5,C$2:$C10,C10),
IF($D10=외피index!$B$6, 외피index!$C$6&amp;"_"&amp;COUNTIFS(D$2:$D10,외피index!$B$6,C$2:$C10,C10),
IF($D10=외피index!$B$7, 외피index!$C$7&amp;"_"&amp;COUNTIFS(D$2:$D10,외피index!$B$7,C$2:$C10,C10),
IF($D10=외피index!$B$8, 외피index!$C$8&amp;"_"&amp;COUNTIFS(D$2:$D10,외피index!$B$8,C$2:$C10,C10),
IF($D10=외피index!$B$9, 외피index!$C$9&amp;"_"&amp;COUNTIFS(D$2:$D10,외피index!$B$9,C$2:$C10,C10),
IF($D10=외피index!$B$10, 외피index!$C$10&amp;"_"&amp;COUNTIFS(D$2:$D10,외피index!$B$10,C$2:$C10,C10), 0))))))))),"")</f>
        <v>2F_Zone006_SL_3</v>
      </c>
      <c r="B10" s="13" t="s">
        <v>16</v>
      </c>
      <c r="C10" s="13" t="s">
        <v>17</v>
      </c>
      <c r="D10" s="13" t="s">
        <v>18</v>
      </c>
      <c r="E10" s="4"/>
      <c r="F10" s="3">
        <v>5.8799914550036103</v>
      </c>
      <c r="G10" s="4" t="s">
        <v>26</v>
      </c>
      <c r="H10" s="13" t="s">
        <v>20</v>
      </c>
      <c r="I10" s="3">
        <v>0</v>
      </c>
      <c r="J10" s="4"/>
      <c r="K10" s="4"/>
      <c r="L10" s="4"/>
      <c r="M10" s="4"/>
      <c r="N10" s="4"/>
      <c r="O10" s="4"/>
      <c r="P10" s="4"/>
    </row>
    <row r="11" spans="1:16" x14ac:dyDescent="0.3">
      <c r="A11" s="12" t="str">
        <f>IFERROR(IF(D11="","",C11&amp;"_"&amp;
IF($D11=외피index!$B$3, 외피index!$C$3&amp;"_"&amp;COUNTIFS(D$2:$D11,외피index!$B$3,C$2:$C11,C11),
IF($D11=외피index!$B$4, 외피index!$C$4&amp;"_"&amp;COUNTIFS(D$2:$D11,외피index!$B$4,C$2:$C11,C11),
IF($D11=외피index!$B$5, 외피index!$C$5&amp;"_"&amp;COUNTIFS(D$2:$D11,외피index!$B$5,C$2:$C11,C11),
IF($D11=외피index!$B$6, 외피index!$C$6&amp;"_"&amp;COUNTIFS(D$2:$D11,외피index!$B$6,C$2:$C11,C11),
IF($D11=외피index!$B$7, 외피index!$C$7&amp;"_"&amp;COUNTIFS(D$2:$D11,외피index!$B$7,C$2:$C11,C11),
IF($D11=외피index!$B$8, 외피index!$C$8&amp;"_"&amp;COUNTIFS(D$2:$D11,외피index!$B$8,C$2:$C11,C11),
IF($D11=외피index!$B$9, 외피index!$C$9&amp;"_"&amp;COUNTIFS(D$2:$D11,외피index!$B$9,C$2:$C11,C11),
IF($D11=외피index!$B$10, 외피index!$C$10&amp;"_"&amp;COUNTIFS(D$2:$D11,외피index!$B$10,C$2:$C11,C11), 0))))))))),"")</f>
        <v>2F_Zone008_SL_2</v>
      </c>
      <c r="B11" s="13" t="s">
        <v>16</v>
      </c>
      <c r="C11" s="13" t="s">
        <v>25</v>
      </c>
      <c r="D11" s="13" t="s">
        <v>18</v>
      </c>
      <c r="E11" s="4"/>
      <c r="F11" s="3">
        <v>5.5822344818152398</v>
      </c>
      <c r="G11" s="4" t="s">
        <v>31</v>
      </c>
      <c r="H11" s="13" t="s">
        <v>20</v>
      </c>
      <c r="I11" s="3">
        <v>0</v>
      </c>
      <c r="J11" s="4"/>
      <c r="K11" s="4"/>
      <c r="L11" s="4"/>
      <c r="M11" s="4"/>
      <c r="N11" s="4"/>
      <c r="O11" s="4"/>
      <c r="P11" s="4"/>
    </row>
    <row r="12" spans="1:16" x14ac:dyDescent="0.3">
      <c r="A12" s="12" t="str">
        <f>IFERROR(IF(D12="","",C12&amp;"_"&amp;
IF($D12=외피index!$B$3, 외피index!$C$3&amp;"_"&amp;COUNTIFS(D$2:$D12,외피index!$B$3,C$2:$C12,C12),
IF($D12=외피index!$B$4, 외피index!$C$4&amp;"_"&amp;COUNTIFS(D$2:$D12,외피index!$B$4,C$2:$C12,C12),
IF($D12=외피index!$B$5, 외피index!$C$5&amp;"_"&amp;COUNTIFS(D$2:$D12,외피index!$B$5,C$2:$C12,C12),
IF($D12=외피index!$B$6, 외피index!$C$6&amp;"_"&amp;COUNTIFS(D$2:$D12,외피index!$B$6,C$2:$C12,C12),
IF($D12=외피index!$B$7, 외피index!$C$7&amp;"_"&amp;COUNTIFS(D$2:$D12,외피index!$B$7,C$2:$C12,C12),
IF($D12=외피index!$B$8, 외피index!$C$8&amp;"_"&amp;COUNTIFS(D$2:$D12,외피index!$B$8,C$2:$C12,C12),
IF($D12=외피index!$B$9, 외피index!$C$9&amp;"_"&amp;COUNTIFS(D$2:$D12,외피index!$B$9,C$2:$C12,C12),
IF($D12=외피index!$B$10, 외피index!$C$10&amp;"_"&amp;COUNTIFS(D$2:$D12,외피index!$B$10,C$2:$C12,C12), 0))))))))),"")</f>
        <v>2F_Zone013_SL_1</v>
      </c>
      <c r="B12" s="13" t="s">
        <v>16</v>
      </c>
      <c r="C12" s="13" t="s">
        <v>32</v>
      </c>
      <c r="D12" s="13" t="s">
        <v>18</v>
      </c>
      <c r="E12" s="4"/>
      <c r="F12" s="3">
        <v>4.79998779296875</v>
      </c>
      <c r="G12" s="4" t="s">
        <v>33</v>
      </c>
      <c r="H12" s="13" t="s">
        <v>20</v>
      </c>
      <c r="I12" s="3">
        <v>180</v>
      </c>
      <c r="J12" s="4"/>
      <c r="K12" s="4"/>
      <c r="L12" s="4"/>
      <c r="M12" s="4"/>
      <c r="N12" s="4"/>
      <c r="O12" s="4"/>
      <c r="P12" s="4"/>
    </row>
    <row r="13" spans="1:16" x14ac:dyDescent="0.3">
      <c r="A13" s="12" t="str">
        <f>IFERROR(IF(D13="","",C13&amp;"_"&amp;
IF($D13=외피index!$B$3, 외피index!$C$3&amp;"_"&amp;COUNTIFS(D$2:$D13,외피index!$B$3,C$2:$C13,C13),
IF($D13=외피index!$B$4, 외피index!$C$4&amp;"_"&amp;COUNTIFS(D$2:$D13,외피index!$B$4,C$2:$C13,C13),
IF($D13=외피index!$B$5, 외피index!$C$5&amp;"_"&amp;COUNTIFS(D$2:$D13,외피index!$B$5,C$2:$C13,C13),
IF($D13=외피index!$B$6, 외피index!$C$6&amp;"_"&amp;COUNTIFS(D$2:$D13,외피index!$B$6,C$2:$C13,C13),
IF($D13=외피index!$B$7, 외피index!$C$7&amp;"_"&amp;COUNTIFS(D$2:$D13,외피index!$B$7,C$2:$C13,C13),
IF($D13=외피index!$B$8, 외피index!$C$8&amp;"_"&amp;COUNTIFS(D$2:$D13,외피index!$B$8,C$2:$C13,C13),
IF($D13=외피index!$B$9, 외피index!$C$9&amp;"_"&amp;COUNTIFS(D$2:$D13,외피index!$B$9,C$2:$C13,C13),
IF($D13=외피index!$B$10, 외피index!$C$10&amp;"_"&amp;COUNTIFS(D$2:$D13,외피index!$B$10,C$2:$C13,C13), 0))))))))),"")</f>
        <v>2F_Zone012_SL_1</v>
      </c>
      <c r="B13" s="13" t="s">
        <v>16</v>
      </c>
      <c r="C13" s="13" t="s">
        <v>30</v>
      </c>
      <c r="D13" s="13" t="s">
        <v>18</v>
      </c>
      <c r="E13" s="4"/>
      <c r="F13" s="3">
        <v>1.89000869751907</v>
      </c>
      <c r="G13" s="4" t="s">
        <v>34</v>
      </c>
      <c r="H13" s="13" t="s">
        <v>20</v>
      </c>
      <c r="I13" s="3">
        <v>0</v>
      </c>
      <c r="J13" s="4"/>
      <c r="K13" s="4"/>
      <c r="L13" s="4"/>
      <c r="M13" s="4"/>
      <c r="N13" s="4"/>
      <c r="O13" s="4"/>
      <c r="P13" s="4"/>
    </row>
    <row r="14" spans="1:16" x14ac:dyDescent="0.3">
      <c r="A14" s="12" t="str">
        <f>IFERROR(IF(D14="","",C14&amp;"_"&amp;
IF($D14=외피index!$B$3, 외피index!$C$3&amp;"_"&amp;COUNTIFS(D$2:$D14,외피index!$B$3,C$2:$C14,C14),
IF($D14=외피index!$B$4, 외피index!$C$4&amp;"_"&amp;COUNTIFS(D$2:$D14,외피index!$B$4,C$2:$C14,C14),
IF($D14=외피index!$B$5, 외피index!$C$5&amp;"_"&amp;COUNTIFS(D$2:$D14,외피index!$B$5,C$2:$C14,C14),
IF($D14=외피index!$B$6, 외피index!$C$6&amp;"_"&amp;COUNTIFS(D$2:$D14,외피index!$B$6,C$2:$C14,C14),
IF($D14=외피index!$B$7, 외피index!$C$7&amp;"_"&amp;COUNTIFS(D$2:$D14,외피index!$B$7,C$2:$C14,C14),
IF($D14=외피index!$B$8, 외피index!$C$8&amp;"_"&amp;COUNTIFS(D$2:$D14,외피index!$B$8,C$2:$C14,C14),
IF($D14=외피index!$B$9, 외피index!$C$9&amp;"_"&amp;COUNTIFS(D$2:$D14,외피index!$B$9,C$2:$C14,C14),
IF($D14=외피index!$B$10, 외피index!$C$10&amp;"_"&amp;COUNTIFS(D$2:$D14,외피index!$B$10,C$2:$C14,C14), 0))))))))),"")</f>
        <v>2F_Zone010_SL_1</v>
      </c>
      <c r="B14" s="13" t="s">
        <v>16</v>
      </c>
      <c r="C14" s="13" t="s">
        <v>28</v>
      </c>
      <c r="D14" s="13" t="s">
        <v>18</v>
      </c>
      <c r="E14" s="4"/>
      <c r="F14" s="3">
        <v>1.71674922178499</v>
      </c>
      <c r="G14" s="4" t="s">
        <v>31</v>
      </c>
      <c r="H14" s="13" t="s">
        <v>20</v>
      </c>
      <c r="I14" s="3">
        <v>0</v>
      </c>
      <c r="J14" s="4"/>
      <c r="K14" s="4"/>
      <c r="L14" s="4"/>
      <c r="M14" s="4"/>
      <c r="N14" s="4"/>
      <c r="O14" s="4"/>
      <c r="P14" s="4"/>
    </row>
    <row r="15" spans="1:16" x14ac:dyDescent="0.3">
      <c r="A15" s="12" t="str">
        <f>IFERROR(IF(D15="","",C15&amp;"_"&amp;
IF($D15=외피index!$B$3, 외피index!$C$3&amp;"_"&amp;COUNTIFS(D$2:$D15,외피index!$B$3,C$2:$C15,C15),
IF($D15=외피index!$B$4, 외피index!$C$4&amp;"_"&amp;COUNTIFS(D$2:$D15,외피index!$B$4,C$2:$C15,C15),
IF($D15=외피index!$B$5, 외피index!$C$5&amp;"_"&amp;COUNTIFS(D$2:$D15,외피index!$B$5,C$2:$C15,C15),
IF($D15=외피index!$B$6, 외피index!$C$6&amp;"_"&amp;COUNTIFS(D$2:$D15,외피index!$B$6,C$2:$C15,C15),
IF($D15=외피index!$B$7, 외피index!$C$7&amp;"_"&amp;COUNTIFS(D$2:$D15,외피index!$B$7,C$2:$C15,C15),
IF($D15=외피index!$B$8, 외피index!$C$8&amp;"_"&amp;COUNTIFS(D$2:$D15,외피index!$B$8,C$2:$C15,C15),
IF($D15=외피index!$B$9, 외피index!$C$9&amp;"_"&amp;COUNTIFS(D$2:$D15,외피index!$B$9,C$2:$C15,C15),
IF($D15=외피index!$B$10, 외피index!$C$10&amp;"_"&amp;COUNTIFS(D$2:$D15,외피index!$B$10,C$2:$C15,C15), 0))))))))),"")</f>
        <v>2F_Zone012_SL_2</v>
      </c>
      <c r="B15" s="13" t="s">
        <v>16</v>
      </c>
      <c r="C15" s="13" t="s">
        <v>30</v>
      </c>
      <c r="D15" s="13" t="s">
        <v>18</v>
      </c>
      <c r="E15" s="4"/>
      <c r="F15" s="3">
        <v>1.15500976564362</v>
      </c>
      <c r="G15" s="4" t="s">
        <v>31</v>
      </c>
      <c r="H15" s="13" t="s">
        <v>20</v>
      </c>
      <c r="I15" s="3">
        <v>0</v>
      </c>
      <c r="J15" s="4"/>
      <c r="K15" s="4"/>
      <c r="L15" s="4"/>
      <c r="M15" s="4"/>
      <c r="N15" s="4"/>
      <c r="O15" s="4"/>
      <c r="P15" s="4"/>
    </row>
    <row r="16" spans="1:16" x14ac:dyDescent="0.3">
      <c r="A16" s="12" t="str">
        <f>IFERROR(IF(D16="","",C16&amp;"_"&amp;
IF($D16=외피index!$B$3, 외피index!$C$3&amp;"_"&amp;COUNTIFS(D$2:$D16,외피index!$B$3,C$2:$C16,C16),
IF($D16=외피index!$B$4, 외피index!$C$4&amp;"_"&amp;COUNTIFS(D$2:$D16,외피index!$B$4,C$2:$C16,C16),
IF($D16=외피index!$B$5, 외피index!$C$5&amp;"_"&amp;COUNTIFS(D$2:$D16,외피index!$B$5,C$2:$C16,C16),
IF($D16=외피index!$B$6, 외피index!$C$6&amp;"_"&amp;COUNTIFS(D$2:$D16,외피index!$B$6,C$2:$C16,C16),
IF($D16=외피index!$B$7, 외피index!$C$7&amp;"_"&amp;COUNTIFS(D$2:$D16,외피index!$B$7,C$2:$C16,C16),
IF($D16=외피index!$B$8, 외피index!$C$8&amp;"_"&amp;COUNTIFS(D$2:$D16,외피index!$B$8,C$2:$C16,C16),
IF($D16=외피index!$B$9, 외피index!$C$9&amp;"_"&amp;COUNTIFS(D$2:$D16,외피index!$B$9,C$2:$C16,C16),
IF($D16=외피index!$B$10, 외피index!$C$10&amp;"_"&amp;COUNTIFS(D$2:$D16,외피index!$B$10,C$2:$C16,C16), 0))))))))),"")</f>
        <v>2F_Zone008_SL_3</v>
      </c>
      <c r="B16" s="13" t="s">
        <v>16</v>
      </c>
      <c r="C16" s="13" t="s">
        <v>25</v>
      </c>
      <c r="D16" s="13" t="s">
        <v>18</v>
      </c>
      <c r="E16" s="4"/>
      <c r="F16" s="3">
        <v>0.76274812314659302</v>
      </c>
      <c r="G16" s="4" t="s">
        <v>33</v>
      </c>
      <c r="H16" s="13" t="s">
        <v>20</v>
      </c>
      <c r="I16" s="3">
        <v>0</v>
      </c>
      <c r="J16" s="4"/>
      <c r="K16" s="4"/>
      <c r="L16" s="4"/>
      <c r="M16" s="4"/>
      <c r="N16" s="4"/>
      <c r="O16" s="4"/>
      <c r="P16" s="4"/>
    </row>
    <row r="17" spans="1:16" x14ac:dyDescent="0.3">
      <c r="A17" s="12" t="str">
        <f>IFERROR(IF(D17="","",C17&amp;"_"&amp;
IF($D17=외피index!$B$3, 외피index!$C$3&amp;"_"&amp;COUNTIFS(D$2:$D17,외피index!$B$3,C$2:$C17,C17),
IF($D17=외피index!$B$4, 외피index!$C$4&amp;"_"&amp;COUNTIFS(D$2:$D17,외피index!$B$4,C$2:$C17,C17),
IF($D17=외피index!$B$5, 외피index!$C$5&amp;"_"&amp;COUNTIFS(D$2:$D17,외피index!$B$5,C$2:$C17,C17),
IF($D17=외피index!$B$6, 외피index!$C$6&amp;"_"&amp;COUNTIFS(D$2:$D17,외피index!$B$6,C$2:$C17,C17),
IF($D17=외피index!$B$7, 외피index!$C$7&amp;"_"&amp;COUNTIFS(D$2:$D17,외피index!$B$7,C$2:$C17,C17),
IF($D17=외피index!$B$8, 외피index!$C$8&amp;"_"&amp;COUNTIFS(D$2:$D17,외피index!$B$8,C$2:$C17,C17),
IF($D17=외피index!$B$9, 외피index!$C$9&amp;"_"&amp;COUNTIFS(D$2:$D17,외피index!$B$9,C$2:$C17,C17),
IF($D17=외피index!$B$10, 외피index!$C$10&amp;"_"&amp;COUNTIFS(D$2:$D17,외피index!$B$10,C$2:$C17,C17), 0))))))))),"")</f>
        <v>2F_Zone010_SL_2</v>
      </c>
      <c r="B17" s="13" t="s">
        <v>16</v>
      </c>
      <c r="C17" s="13" t="s">
        <v>28</v>
      </c>
      <c r="D17" s="13" t="s">
        <v>18</v>
      </c>
      <c r="E17" s="4"/>
      <c r="F17" s="3">
        <v>0.59325428772717703</v>
      </c>
      <c r="G17" s="4" t="s">
        <v>33</v>
      </c>
      <c r="H17" s="13" t="s">
        <v>20</v>
      </c>
      <c r="I17" s="3">
        <v>0</v>
      </c>
      <c r="J17" s="4"/>
      <c r="K17" s="4"/>
      <c r="L17" s="4"/>
      <c r="M17" s="4"/>
      <c r="N17" s="4"/>
      <c r="O17" s="4"/>
      <c r="P17" s="4"/>
    </row>
    <row r="18" spans="1:16" x14ac:dyDescent="0.3">
      <c r="A18" s="12" t="str">
        <f>IFERROR(IF(D18="","",C18&amp;"_"&amp;
IF($D18=외피index!$B$3, 외피index!$C$3&amp;"_"&amp;COUNTIFS(D$2:$D18,외피index!$B$3,C$2:$C18,C18),
IF($D18=외피index!$B$4, 외피index!$C$4&amp;"_"&amp;COUNTIFS(D$2:$D18,외피index!$B$4,C$2:$C18,C18),
IF($D18=외피index!$B$5, 외피index!$C$5&amp;"_"&amp;COUNTIFS(D$2:$D18,외피index!$B$5,C$2:$C18,C18),
IF($D18=외피index!$B$6, 외피index!$C$6&amp;"_"&amp;COUNTIFS(D$2:$D18,외피index!$B$6,C$2:$C18,C18),
IF($D18=외피index!$B$7, 외피index!$C$7&amp;"_"&amp;COUNTIFS(D$2:$D18,외피index!$B$7,C$2:$C18,C18),
IF($D18=외피index!$B$8, 외피index!$C$8&amp;"_"&amp;COUNTIFS(D$2:$D18,외피index!$B$8,C$2:$C18,C18),
IF($D18=외피index!$B$9, 외피index!$C$9&amp;"_"&amp;COUNTIFS(D$2:$D18,외피index!$B$9,C$2:$C18,C18),
IF($D18=외피index!$B$10, 외피index!$C$10&amp;"_"&amp;COUNTIFS(D$2:$D18,외피index!$B$10,C$2:$C18,C18), 0))))))))),"")</f>
        <v>3F_Zone015_RF_1</v>
      </c>
      <c r="B18" s="13" t="s">
        <v>35</v>
      </c>
      <c r="C18" s="13" t="s">
        <v>22</v>
      </c>
      <c r="D18" s="13" t="s">
        <v>24</v>
      </c>
      <c r="E18" s="4"/>
      <c r="F18" s="3">
        <v>36.920010070782098</v>
      </c>
      <c r="G18" s="4"/>
      <c r="H18" s="13" t="s">
        <v>20</v>
      </c>
      <c r="I18" s="3">
        <v>0</v>
      </c>
      <c r="J18" s="4"/>
      <c r="K18" s="4"/>
      <c r="L18" s="4"/>
      <c r="M18" s="4"/>
      <c r="N18" s="4"/>
      <c r="O18" s="4"/>
      <c r="P18" s="4"/>
    </row>
    <row r="19" spans="1:16" x14ac:dyDescent="0.3">
      <c r="A19" s="12" t="str">
        <f>IFERROR(IF(D19="","",C19&amp;"_"&amp;
IF($D19=외피index!$B$3, 외피index!$C$3&amp;"_"&amp;COUNTIFS(D$2:$D19,외피index!$B$3,C$2:$C19,C19),
IF($D19=외피index!$B$4, 외피index!$C$4&amp;"_"&amp;COUNTIFS(D$2:$D19,외피index!$B$4,C$2:$C19,C19),
IF($D19=외피index!$B$5, 외피index!$C$5&amp;"_"&amp;COUNTIFS(D$2:$D19,외피index!$B$5,C$2:$C19,C19),
IF($D19=외피index!$B$6, 외피index!$C$6&amp;"_"&amp;COUNTIFS(D$2:$D19,외피index!$B$6,C$2:$C19,C19),
IF($D19=외피index!$B$7, 외피index!$C$7&amp;"_"&amp;COUNTIFS(D$2:$D19,외피index!$B$7,C$2:$C19,C19),
IF($D19=외피index!$B$8, 외피index!$C$8&amp;"_"&amp;COUNTIFS(D$2:$D19,외피index!$B$8,C$2:$C19,C19),
IF($D19=외피index!$B$9, 외피index!$C$9&amp;"_"&amp;COUNTIFS(D$2:$D19,외피index!$B$9,C$2:$C19,C19),
IF($D19=외피index!$B$10, 외피index!$C$10&amp;"_"&amp;COUNTIFS(D$2:$D19,외피index!$B$10,C$2:$C19,C19), 0))))))))),"")</f>
        <v>3F_Zone014_RF_1</v>
      </c>
      <c r="B19" s="13" t="s">
        <v>35</v>
      </c>
      <c r="C19" s="13" t="s">
        <v>19</v>
      </c>
      <c r="D19" s="13" t="s">
        <v>24</v>
      </c>
      <c r="E19" s="4"/>
      <c r="F19" s="3">
        <v>28.080031127901702</v>
      </c>
      <c r="G19" s="4"/>
      <c r="H19" s="13" t="s">
        <v>20</v>
      </c>
      <c r="I19" s="3">
        <v>0</v>
      </c>
      <c r="J19" s="4"/>
      <c r="K19" s="4"/>
      <c r="L19" s="4"/>
      <c r="M19" s="4"/>
      <c r="N19" s="4"/>
      <c r="O19" s="4"/>
      <c r="P19" s="4"/>
    </row>
    <row r="20" spans="1:16" x14ac:dyDescent="0.3">
      <c r="A20" s="12" t="str">
        <f>IFERROR(IF(D20="","",C20&amp;"_"&amp;
IF($D20=외피index!$B$3, 외피index!$C$3&amp;"_"&amp;COUNTIFS(D$2:$D20,외피index!$B$3,C$2:$C20,C20),
IF($D20=외피index!$B$4, 외피index!$C$4&amp;"_"&amp;COUNTIFS(D$2:$D20,외피index!$B$4,C$2:$C20,C20),
IF($D20=외피index!$B$5, 외피index!$C$5&amp;"_"&amp;COUNTIFS(D$2:$D20,외피index!$B$5,C$2:$C20,C20),
IF($D20=외피index!$B$6, 외피index!$C$6&amp;"_"&amp;COUNTIFS(D$2:$D20,외피index!$B$6,C$2:$C20,C20),
IF($D20=외피index!$B$7, 외피index!$C$7&amp;"_"&amp;COUNTIFS(D$2:$D20,외피index!$B$7,C$2:$C20,C20),
IF($D20=외피index!$B$8, 외피index!$C$8&amp;"_"&amp;COUNTIFS(D$2:$D20,외피index!$B$8,C$2:$C20,C20),
IF($D20=외피index!$B$9, 외피index!$C$9&amp;"_"&amp;COUNTIFS(D$2:$D20,외피index!$B$9,C$2:$C20,C20),
IF($D20=외피index!$B$10, 외피index!$C$10&amp;"_"&amp;COUNTIFS(D$2:$D20,외피index!$B$10,C$2:$C20,C20), 0))))))))),"")</f>
        <v>3F_Zone016_SL_1</v>
      </c>
      <c r="B20" s="13" t="s">
        <v>35</v>
      </c>
      <c r="C20" s="13" t="s">
        <v>26</v>
      </c>
      <c r="D20" s="13" t="s">
        <v>18</v>
      </c>
      <c r="E20" s="4"/>
      <c r="F20" s="3">
        <v>15.449966430664</v>
      </c>
      <c r="G20" s="4" t="s">
        <v>36</v>
      </c>
      <c r="H20" s="13" t="s">
        <v>20</v>
      </c>
      <c r="I20" s="3">
        <v>180</v>
      </c>
      <c r="J20" s="4"/>
      <c r="K20" s="4"/>
      <c r="L20" s="4"/>
      <c r="M20" s="4"/>
      <c r="N20" s="4"/>
      <c r="O20" s="4"/>
      <c r="P20" s="4"/>
    </row>
    <row r="21" spans="1:16" x14ac:dyDescent="0.3">
      <c r="A21" s="12" t="str">
        <f>IFERROR(IF(D21="","",C21&amp;"_"&amp;
IF($D21=외피index!$B$3, 외피index!$C$3&amp;"_"&amp;COUNTIFS(D$2:$D21,외피index!$B$3,C$2:$C21,C21),
IF($D21=외피index!$B$4, 외피index!$C$4&amp;"_"&amp;COUNTIFS(D$2:$D21,외피index!$B$4,C$2:$C21,C21),
IF($D21=외피index!$B$5, 외피index!$C$5&amp;"_"&amp;COUNTIFS(D$2:$D21,외피index!$B$5,C$2:$C21,C21),
IF($D21=외피index!$B$6, 외피index!$C$6&amp;"_"&amp;COUNTIFS(D$2:$D21,외피index!$B$6,C$2:$C21,C21),
IF($D21=외피index!$B$7, 외피index!$C$7&amp;"_"&amp;COUNTIFS(D$2:$D21,외피index!$B$7,C$2:$C21,C21),
IF($D21=외피index!$B$8, 외피index!$C$8&amp;"_"&amp;COUNTIFS(D$2:$D21,외피index!$B$8,C$2:$C21,C21),
IF($D21=외피index!$B$9, 외피index!$C$9&amp;"_"&amp;COUNTIFS(D$2:$D21,외피index!$B$9,C$2:$C21,C21),
IF($D21=외피index!$B$10, 외피index!$C$10&amp;"_"&amp;COUNTIFS(D$2:$D21,외피index!$B$10,C$2:$C21,C21), 0))))))))),"")</f>
        <v>3F_Zone017_RF_1</v>
      </c>
      <c r="B21" s="13" t="s">
        <v>35</v>
      </c>
      <c r="C21" s="13" t="s">
        <v>29</v>
      </c>
      <c r="D21" s="13" t="s">
        <v>24</v>
      </c>
      <c r="E21" s="4"/>
      <c r="F21" s="3">
        <v>8.6799365235492498</v>
      </c>
      <c r="G21" s="4"/>
      <c r="H21" s="13" t="s">
        <v>20</v>
      </c>
      <c r="I21" s="3">
        <v>0</v>
      </c>
      <c r="J21" s="4"/>
      <c r="K21" s="4"/>
      <c r="L21" s="4"/>
      <c r="M21" s="4"/>
      <c r="N21" s="4"/>
      <c r="O21" s="4"/>
      <c r="P21" s="4"/>
    </row>
    <row r="22" spans="1:16" x14ac:dyDescent="0.3">
      <c r="A22" s="12" t="str">
        <f>IFERROR(IF(D22="","",C22&amp;"_"&amp;
IF($D22=외피index!$B$3, 외피index!$C$3&amp;"_"&amp;COUNTIFS(D$2:$D22,외피index!$B$3,C$2:$C22,C22),
IF($D22=외피index!$B$4, 외피index!$C$4&amp;"_"&amp;COUNTIFS(D$2:$D22,외피index!$B$4,C$2:$C22,C22),
IF($D22=외피index!$B$5, 외피index!$C$5&amp;"_"&amp;COUNTIFS(D$2:$D22,외피index!$B$5,C$2:$C22,C22),
IF($D22=외피index!$B$6, 외피index!$C$6&amp;"_"&amp;COUNTIFS(D$2:$D22,외피index!$B$6,C$2:$C22,C22),
IF($D22=외피index!$B$7, 외피index!$C$7&amp;"_"&amp;COUNTIFS(D$2:$D22,외피index!$B$7,C$2:$C22,C22),
IF($D22=외피index!$B$8, 외피index!$C$8&amp;"_"&amp;COUNTIFS(D$2:$D22,외피index!$B$8,C$2:$C22,C22),
IF($D22=외피index!$B$9, 외피index!$C$9&amp;"_"&amp;COUNTIFS(D$2:$D22,외피index!$B$9,C$2:$C22,C22),
IF($D22=외피index!$B$10, 외피index!$C$10&amp;"_"&amp;COUNTIFS(D$2:$D22,외피index!$B$10,C$2:$C22,C22), 0))))))))),"")</f>
        <v>3F_Zone019_RF_1</v>
      </c>
      <c r="B22" s="13" t="s">
        <v>35</v>
      </c>
      <c r="C22" s="13" t="s">
        <v>31</v>
      </c>
      <c r="D22" s="13" t="s">
        <v>24</v>
      </c>
      <c r="E22" s="4"/>
      <c r="F22" s="3">
        <v>8.4539934692438692</v>
      </c>
      <c r="G22" s="4"/>
      <c r="H22" s="13" t="s">
        <v>20</v>
      </c>
      <c r="I22" s="3">
        <v>0</v>
      </c>
      <c r="J22" s="4"/>
      <c r="K22" s="4"/>
      <c r="L22" s="4"/>
      <c r="M22" s="4"/>
      <c r="N22" s="4"/>
      <c r="O22" s="4"/>
      <c r="P22" s="4"/>
    </row>
    <row r="23" spans="1:16" x14ac:dyDescent="0.3">
      <c r="A23" s="12" t="str">
        <f>IFERROR(IF(D23="","",C23&amp;"_"&amp;
IF($D23=외피index!$B$3, 외피index!$C$3&amp;"_"&amp;COUNTIFS(D$2:$D23,외피index!$B$3,C$2:$C23,C23),
IF($D23=외피index!$B$4, 외피index!$C$4&amp;"_"&amp;COUNTIFS(D$2:$D23,외피index!$B$4,C$2:$C23,C23),
IF($D23=외피index!$B$5, 외피index!$C$5&amp;"_"&amp;COUNTIFS(D$2:$D23,외피index!$B$5,C$2:$C23,C23),
IF($D23=외피index!$B$6, 외피index!$C$6&amp;"_"&amp;COUNTIFS(D$2:$D23,외피index!$B$6,C$2:$C23,C23),
IF($D23=외피index!$B$7, 외피index!$C$7&amp;"_"&amp;COUNTIFS(D$2:$D23,외피index!$B$7,C$2:$C23,C23),
IF($D23=외피index!$B$8, 외피index!$C$8&amp;"_"&amp;COUNTIFS(D$2:$D23,외피index!$B$8,C$2:$C23,C23),
IF($D23=외피index!$B$9, 외피index!$C$9&amp;"_"&amp;COUNTIFS(D$2:$D23,외피index!$B$9,C$2:$C23,C23),
IF($D23=외피index!$B$10, 외피index!$C$10&amp;"_"&amp;COUNTIFS(D$2:$D23,외피index!$B$10,C$2:$C23,C23), 0))))))))),"")</f>
        <v>3F_Zone020_RF_1</v>
      </c>
      <c r="B23" s="13" t="s">
        <v>35</v>
      </c>
      <c r="C23" s="13" t="s">
        <v>33</v>
      </c>
      <c r="D23" s="13" t="s">
        <v>24</v>
      </c>
      <c r="E23" s="4"/>
      <c r="F23" s="3">
        <v>6.1559902038425198</v>
      </c>
      <c r="G23" s="4"/>
      <c r="H23" s="13" t="s">
        <v>20</v>
      </c>
      <c r="I23" s="3">
        <v>0</v>
      </c>
      <c r="J23" s="4"/>
      <c r="K23" s="4"/>
      <c r="L23" s="4"/>
      <c r="M23" s="4"/>
      <c r="N23" s="4"/>
      <c r="O23" s="4"/>
      <c r="P23" s="4"/>
    </row>
    <row r="24" spans="1:16" x14ac:dyDescent="0.3">
      <c r="A24" s="12" t="str">
        <f>IFERROR(IF(D24="","",C24&amp;"_"&amp;
IF($D24=외피index!$B$3, 외피index!$C$3&amp;"_"&amp;COUNTIFS(D$2:$D24,외피index!$B$3,C$2:$C24,C24),
IF($D24=외피index!$B$4, 외피index!$C$4&amp;"_"&amp;COUNTIFS(D$2:$D24,외피index!$B$4,C$2:$C24,C24),
IF($D24=외피index!$B$5, 외피index!$C$5&amp;"_"&amp;COUNTIFS(D$2:$D24,외피index!$B$5,C$2:$C24,C24),
IF($D24=외피index!$B$6, 외피index!$C$6&amp;"_"&amp;COUNTIFS(D$2:$D24,외피index!$B$6,C$2:$C24,C24),
IF($D24=외피index!$B$7, 외피index!$C$7&amp;"_"&amp;COUNTIFS(D$2:$D24,외피index!$B$7,C$2:$C24,C24),
IF($D24=외피index!$B$8, 외피index!$C$8&amp;"_"&amp;COUNTIFS(D$2:$D24,외피index!$B$8,C$2:$C24,C24),
IF($D24=외피index!$B$9, 외피index!$C$9&amp;"_"&amp;COUNTIFS(D$2:$D24,외피index!$B$9,C$2:$C24,C24),
IF($D24=외피index!$B$10, 외피index!$C$10&amp;"_"&amp;COUNTIFS(D$2:$D24,외피index!$B$10,C$2:$C24,C24), 0))))))))),"")</f>
        <v>3F_Zone016_RF_1</v>
      </c>
      <c r="B24" s="13" t="s">
        <v>35</v>
      </c>
      <c r="C24" s="13" t="s">
        <v>26</v>
      </c>
      <c r="D24" s="13" t="s">
        <v>24</v>
      </c>
      <c r="E24" s="4"/>
      <c r="F24" s="3">
        <v>5.8799914550036103</v>
      </c>
      <c r="G24" s="4"/>
      <c r="H24" s="13" t="s">
        <v>20</v>
      </c>
      <c r="I24" s="3">
        <v>0</v>
      </c>
      <c r="J24" s="4"/>
      <c r="K24" s="4"/>
      <c r="L24" s="4"/>
      <c r="M24" s="4"/>
      <c r="N24" s="4"/>
      <c r="O24" s="4"/>
      <c r="P24" s="4"/>
    </row>
    <row r="25" spans="1:16" x14ac:dyDescent="0.3">
      <c r="A25" s="12" t="str">
        <f>IFERROR(IF(D25="","",C25&amp;"_"&amp;
IF($D25=외피index!$B$3, 외피index!$C$3&amp;"_"&amp;COUNTIFS(D$2:$D25,외피index!$B$3,C$2:$C25,C25),
IF($D25=외피index!$B$4, 외피index!$C$4&amp;"_"&amp;COUNTIFS(D$2:$D25,외피index!$B$4,C$2:$C25,C25),
IF($D25=외피index!$B$5, 외피index!$C$5&amp;"_"&amp;COUNTIFS(D$2:$D25,외피index!$B$5,C$2:$C25,C25),
IF($D25=외피index!$B$6, 외피index!$C$6&amp;"_"&amp;COUNTIFS(D$2:$D25,외피index!$B$6,C$2:$C25,C25),
IF($D25=외피index!$B$7, 외피index!$C$7&amp;"_"&amp;COUNTIFS(D$2:$D25,외피index!$B$7,C$2:$C25,C25),
IF($D25=외피index!$B$8, 외피index!$C$8&amp;"_"&amp;COUNTIFS(D$2:$D25,외피index!$B$8,C$2:$C25,C25),
IF($D25=외피index!$B$9, 외피index!$C$9&amp;"_"&amp;COUNTIFS(D$2:$D25,외피index!$B$9,C$2:$C25,C25),
IF($D25=외피index!$B$10, 외피index!$C$10&amp;"_"&amp;COUNTIFS(D$2:$D25,외피index!$B$10,C$2:$C25,C25), 0))))))))),"")</f>
        <v>3F_Zone018_RF_1</v>
      </c>
      <c r="B25" s="13" t="s">
        <v>35</v>
      </c>
      <c r="C25" s="13" t="s">
        <v>34</v>
      </c>
      <c r="D25" s="13" t="s">
        <v>24</v>
      </c>
      <c r="E25" s="4"/>
      <c r="F25" s="3">
        <v>2.4299876403529099</v>
      </c>
      <c r="G25" s="4"/>
      <c r="H25" s="13" t="s">
        <v>20</v>
      </c>
      <c r="I25" s="3">
        <v>0</v>
      </c>
      <c r="J25" s="4"/>
      <c r="K25" s="4"/>
      <c r="L25" s="4"/>
      <c r="M25" s="4"/>
      <c r="N25" s="4"/>
      <c r="O25" s="4"/>
      <c r="P25" s="4"/>
    </row>
    <row r="26" spans="1:16" x14ac:dyDescent="0.3">
      <c r="A26" s="12" t="str">
        <f>IFERROR(IF(D26="","",C26&amp;"_"&amp;
IF($D26=외피index!$B$3, 외피index!$C$3&amp;"_"&amp;COUNTIFS(D$2:$D26,외피index!$B$3,C$2:$C26,C26),
IF($D26=외피index!$B$4, 외피index!$C$4&amp;"_"&amp;COUNTIFS(D$2:$D26,외피index!$B$4,C$2:$C26,C26),
IF($D26=외피index!$B$5, 외피index!$C$5&amp;"_"&amp;COUNTIFS(D$2:$D26,외피index!$B$5,C$2:$C26,C26),
IF($D26=외피index!$B$6, 외피index!$C$6&amp;"_"&amp;COUNTIFS(D$2:$D26,외피index!$B$6,C$2:$C26,C26),
IF($D26=외피index!$B$7, 외피index!$C$7&amp;"_"&amp;COUNTIFS(D$2:$D26,외피index!$B$7,C$2:$C26,C26),
IF($D26=외피index!$B$8, 외피index!$C$8&amp;"_"&amp;COUNTIFS(D$2:$D26,외피index!$B$8,C$2:$C26,C26),
IF($D26=외피index!$B$9, 외피index!$C$9&amp;"_"&amp;COUNTIFS(D$2:$D26,외피index!$B$9,C$2:$C26,C26),
IF($D26=외피index!$B$10, 외피index!$C$10&amp;"_"&amp;COUNTIFS(D$2:$D26,외피index!$B$10,C$2:$C26,C26), 0))))))))),"")</f>
        <v>3F_Zone018_SL_1</v>
      </c>
      <c r="B26" s="13" t="s">
        <v>35</v>
      </c>
      <c r="C26" s="13" t="s">
        <v>34</v>
      </c>
      <c r="D26" s="13" t="s">
        <v>18</v>
      </c>
      <c r="E26" s="4"/>
      <c r="F26" s="3">
        <v>1.3499908447265601</v>
      </c>
      <c r="G26" s="4" t="s">
        <v>36</v>
      </c>
      <c r="H26" s="13" t="s">
        <v>20</v>
      </c>
      <c r="I26" s="3">
        <v>180</v>
      </c>
      <c r="J26" s="4"/>
      <c r="K26" s="4"/>
      <c r="L26" s="4"/>
      <c r="M26" s="4"/>
      <c r="N26" s="4"/>
      <c r="O26" s="4"/>
      <c r="P26" s="4"/>
    </row>
    <row r="27" spans="1:16" x14ac:dyDescent="0.3">
      <c r="A27" s="12" t="str">
        <f>IFERROR(IF(D27="","",C27&amp;"_"&amp;
IF($D27=외피index!$B$3, 외피index!$C$3&amp;"_"&amp;COUNTIFS(D$2:$D27,외피index!$B$3,C$2:$C27,C27),
IF($D27=외피index!$B$4, 외피index!$C$4&amp;"_"&amp;COUNTIFS(D$2:$D27,외피index!$B$4,C$2:$C27,C27),
IF($D27=외피index!$B$5, 외피index!$C$5&amp;"_"&amp;COUNTIFS(D$2:$D27,외피index!$B$5,C$2:$C27,C27),
IF($D27=외피index!$B$6, 외피index!$C$6&amp;"_"&amp;COUNTIFS(D$2:$D27,외피index!$B$6,C$2:$C27,C27),
IF($D27=외피index!$B$7, 외피index!$C$7&amp;"_"&amp;COUNTIFS(D$2:$D27,외피index!$B$7,C$2:$C27,C27),
IF($D27=외피index!$B$8, 외피index!$C$8&amp;"_"&amp;COUNTIFS(D$2:$D27,외피index!$B$8,C$2:$C27,C27),
IF($D27=외피index!$B$9, 외피index!$C$9&amp;"_"&amp;COUNTIFS(D$2:$D27,외피index!$B$9,C$2:$C27,C27),
IF($D27=외피index!$B$10, 외피index!$C$10&amp;"_"&amp;COUNTIFS(D$2:$D27,외피index!$B$10,C$2:$C27,C27), 0))))))))),"")</f>
        <v>1F_Zone002_SL_1</v>
      </c>
      <c r="B27" s="13" t="s">
        <v>37</v>
      </c>
      <c r="C27" s="13" t="s">
        <v>38</v>
      </c>
      <c r="D27" s="13" t="s">
        <v>18</v>
      </c>
      <c r="E27" s="4"/>
      <c r="F27" s="3">
        <v>42.639959106454597</v>
      </c>
      <c r="G27" s="4" t="s">
        <v>17</v>
      </c>
      <c r="H27" s="13" t="s">
        <v>20</v>
      </c>
      <c r="I27" s="3">
        <v>0</v>
      </c>
      <c r="J27" s="4"/>
      <c r="K27" s="4"/>
      <c r="L27" s="4"/>
      <c r="M27" s="4"/>
      <c r="N27" s="4"/>
      <c r="O27" s="4"/>
      <c r="P27" s="4"/>
    </row>
    <row r="28" spans="1:16" x14ac:dyDescent="0.3">
      <c r="A28" s="12" t="str">
        <f>IFERROR(IF(D28="","",C28&amp;"_"&amp;
IF($D28=외피index!$B$3, 외피index!$C$3&amp;"_"&amp;COUNTIFS(D$2:$D28,외피index!$B$3,C$2:$C28,C28),
IF($D28=외피index!$B$4, 외피index!$C$4&amp;"_"&amp;COUNTIFS(D$2:$D28,외피index!$B$4,C$2:$C28,C28),
IF($D28=외피index!$B$5, 외피index!$C$5&amp;"_"&amp;COUNTIFS(D$2:$D28,외피index!$B$5,C$2:$C28,C28),
IF($D28=외피index!$B$6, 외피index!$C$6&amp;"_"&amp;COUNTIFS(D$2:$D28,외피index!$B$6,C$2:$C28,C28),
IF($D28=외피index!$B$7, 외피index!$C$7&amp;"_"&amp;COUNTIFS(D$2:$D28,외피index!$B$7,C$2:$C28,C28),
IF($D28=외피index!$B$8, 외피index!$C$8&amp;"_"&amp;COUNTIFS(D$2:$D28,외피index!$B$8,C$2:$C28,C28),
IF($D28=외피index!$B$9, 외피index!$C$9&amp;"_"&amp;COUNTIFS(D$2:$D28,외피index!$B$9,C$2:$C28,C28),
IF($D28=외피index!$B$10, 외피index!$C$10&amp;"_"&amp;COUNTIFS(D$2:$D28,외피index!$B$10,C$2:$C28,C28), 0))))))))),"")</f>
        <v>1F_Zone003_SL_1</v>
      </c>
      <c r="B28" s="13" t="s">
        <v>37</v>
      </c>
      <c r="C28" s="13" t="s">
        <v>39</v>
      </c>
      <c r="D28" s="13" t="s">
        <v>18</v>
      </c>
      <c r="E28" s="4"/>
      <c r="F28" s="3">
        <v>16.7999572753906</v>
      </c>
      <c r="G28" s="4" t="s">
        <v>25</v>
      </c>
      <c r="H28" s="13" t="s">
        <v>20</v>
      </c>
      <c r="I28" s="3">
        <v>180</v>
      </c>
      <c r="J28" s="4"/>
      <c r="K28" s="4"/>
      <c r="L28" s="4"/>
      <c r="M28" s="4"/>
      <c r="N28" s="4"/>
      <c r="O28" s="4"/>
      <c r="P28" s="4"/>
    </row>
    <row r="29" spans="1:16" x14ac:dyDescent="0.3">
      <c r="A29" s="12" t="str">
        <f>IFERROR(IF(D29="","",C29&amp;"_"&amp;
IF($D29=외피index!$B$3, 외피index!$C$3&amp;"_"&amp;COUNTIFS(D$2:$D29,외피index!$B$3,C$2:$C29,C29),
IF($D29=외피index!$B$4, 외피index!$C$4&amp;"_"&amp;COUNTIFS(D$2:$D29,외피index!$B$4,C$2:$C29,C29),
IF($D29=외피index!$B$5, 외피index!$C$5&amp;"_"&amp;COUNTIFS(D$2:$D29,외피index!$B$5,C$2:$C29,C29),
IF($D29=외피index!$B$6, 외피index!$C$6&amp;"_"&amp;COUNTIFS(D$2:$D29,외피index!$B$6,C$2:$C29,C29),
IF($D29=외피index!$B$7, 외피index!$C$7&amp;"_"&amp;COUNTIFS(D$2:$D29,외피index!$B$7,C$2:$C29,C29),
IF($D29=외피index!$B$8, 외피index!$C$8&amp;"_"&amp;COUNTIFS(D$2:$D29,외피index!$B$8,C$2:$C29,C29),
IF($D29=외피index!$B$9, 외피index!$C$9&amp;"_"&amp;COUNTIFS(D$2:$D29,외피index!$B$9,C$2:$C29,C29),
IF($D29=외피index!$B$10, 외피index!$C$10&amp;"_"&amp;COUNTIFS(D$2:$D29,외피index!$B$10,C$2:$C29,C29), 0))))))))),"")</f>
        <v>1F_Zone004_SL_1</v>
      </c>
      <c r="B29" s="13" t="s">
        <v>37</v>
      </c>
      <c r="C29" s="13" t="s">
        <v>40</v>
      </c>
      <c r="D29" s="13" t="s">
        <v>18</v>
      </c>
      <c r="E29" s="4"/>
      <c r="F29" s="3">
        <v>10.920057373121301</v>
      </c>
      <c r="G29" s="4" t="s">
        <v>23</v>
      </c>
      <c r="H29" s="13" t="s">
        <v>20</v>
      </c>
      <c r="I29" s="3">
        <v>180</v>
      </c>
      <c r="J29" s="4"/>
      <c r="K29" s="4"/>
      <c r="L29" s="4"/>
      <c r="M29" s="4"/>
      <c r="N29" s="4"/>
      <c r="O29" s="4"/>
      <c r="P29" s="4"/>
    </row>
    <row r="30" spans="1:16" x14ac:dyDescent="0.3">
      <c r="A30" s="12" t="str">
        <f>IFERROR(IF(D30="","",C30&amp;"_"&amp;
IF($D30=외피index!$B$3, 외피index!$C$3&amp;"_"&amp;COUNTIFS(D$2:$D30,외피index!$B$3,C$2:$C30,C30),
IF($D30=외피index!$B$4, 외피index!$C$4&amp;"_"&amp;COUNTIFS(D$2:$D30,외피index!$B$4,C$2:$C30,C30),
IF($D30=외피index!$B$5, 외피index!$C$5&amp;"_"&amp;COUNTIFS(D$2:$D30,외피index!$B$5,C$2:$C30,C30),
IF($D30=외피index!$B$6, 외피index!$C$6&amp;"_"&amp;COUNTIFS(D$2:$D30,외피index!$B$6,C$2:$C30,C30),
IF($D30=외피index!$B$7, 외피index!$C$7&amp;"_"&amp;COUNTIFS(D$2:$D30,외피index!$B$7,C$2:$C30,C30),
IF($D30=외피index!$B$8, 외피index!$C$8&amp;"_"&amp;COUNTIFS(D$2:$D30,외피index!$B$8,C$2:$C30,C30),
IF($D30=외피index!$B$9, 외피index!$C$9&amp;"_"&amp;COUNTIFS(D$2:$D30,외피index!$B$9,C$2:$C30,C30),
IF($D30=외피index!$B$10, 외피index!$C$10&amp;"_"&amp;COUNTIFS(D$2:$D30,외피index!$B$10,C$2:$C30,C30), 0))))))))),"")</f>
        <v>1F_Zone003_SL_2</v>
      </c>
      <c r="B30" s="13" t="s">
        <v>37</v>
      </c>
      <c r="C30" s="13" t="s">
        <v>39</v>
      </c>
      <c r="D30" s="13" t="s">
        <v>18</v>
      </c>
      <c r="E30" s="4"/>
      <c r="F30" s="3">
        <v>7.2799853514879898</v>
      </c>
      <c r="G30" s="4" t="s">
        <v>23</v>
      </c>
      <c r="H30" s="13" t="s">
        <v>20</v>
      </c>
      <c r="I30" s="3">
        <v>180</v>
      </c>
      <c r="J30" s="4"/>
      <c r="K30" s="4"/>
      <c r="L30" s="4"/>
      <c r="M30" s="4"/>
      <c r="N30" s="4"/>
      <c r="O30" s="4"/>
      <c r="P30" s="4"/>
    </row>
    <row r="31" spans="1:16" x14ac:dyDescent="0.3">
      <c r="A31" s="12" t="str">
        <f>IFERROR(IF(D31="","",C31&amp;"_"&amp;
IF($D31=외피index!$B$3, 외피index!$C$3&amp;"_"&amp;COUNTIFS(D$2:$D31,외피index!$B$3,C$2:$C31,C31),
IF($D31=외피index!$B$4, 외피index!$C$4&amp;"_"&amp;COUNTIFS(D$2:$D31,외피index!$B$4,C$2:$C31,C31),
IF($D31=외피index!$B$5, 외피index!$C$5&amp;"_"&amp;COUNTIFS(D$2:$D31,외피index!$B$5,C$2:$C31,C31),
IF($D31=외피index!$B$6, 외피index!$C$6&amp;"_"&amp;COUNTIFS(D$2:$D31,외피index!$B$6,C$2:$C31,C31),
IF($D31=외피index!$B$7, 외피index!$C$7&amp;"_"&amp;COUNTIFS(D$2:$D31,외피index!$B$7,C$2:$C31,C31),
IF($D31=외피index!$B$8, 외피index!$C$8&amp;"_"&amp;COUNTIFS(D$2:$D31,외피index!$B$8,C$2:$C31,C31),
IF($D31=외피index!$B$9, 외피index!$C$9&amp;"_"&amp;COUNTIFS(D$2:$D31,외피index!$B$9,C$2:$C31,C31),
IF($D31=외피index!$B$10, 외피index!$C$10&amp;"_"&amp;COUNTIFS(D$2:$D31,외피index!$B$10,C$2:$C31,C31), 0))))))))),"")</f>
        <v>4F_Zone021_RF_1</v>
      </c>
      <c r="B31" s="13" t="s">
        <v>41</v>
      </c>
      <c r="C31" s="13" t="s">
        <v>36</v>
      </c>
      <c r="D31" s="13" t="s">
        <v>24</v>
      </c>
      <c r="E31" s="4"/>
      <c r="F31" s="3">
        <v>16.7999572753906</v>
      </c>
      <c r="G31" s="4"/>
      <c r="H31" s="13" t="s">
        <v>20</v>
      </c>
      <c r="I31" s="3">
        <v>0</v>
      </c>
      <c r="J31" s="4"/>
      <c r="K31" s="4"/>
      <c r="L31" s="4"/>
      <c r="M31" s="4"/>
      <c r="N31" s="4"/>
      <c r="O31" s="4"/>
      <c r="P31" s="4"/>
    </row>
    <row r="32" spans="1:16" x14ac:dyDescent="0.3">
      <c r="A32" s="12" t="str">
        <f>IFERROR(IF(D32="","",C32&amp;"_"&amp;
IF($D32=외피index!$B$3, 외피index!$C$3&amp;"_"&amp;COUNTIFS(D$2:$D32,외피index!$B$3,C$2:$C32,C32),
IF($D32=외피index!$B$4, 외피index!$C$4&amp;"_"&amp;COUNTIFS(D$2:$D32,외피index!$B$4,C$2:$C32,C32),
IF($D32=외피index!$B$5, 외피index!$C$5&amp;"_"&amp;COUNTIFS(D$2:$D32,외피index!$B$5,C$2:$C32,C32),
IF($D32=외피index!$B$6, 외피index!$C$6&amp;"_"&amp;COUNTIFS(D$2:$D32,외피index!$B$6,C$2:$C32,C32),
IF($D32=외피index!$B$7, 외피index!$C$7&amp;"_"&amp;COUNTIFS(D$2:$D32,외피index!$B$7,C$2:$C32,C32),
IF($D32=외피index!$B$8, 외피index!$C$8&amp;"_"&amp;COUNTIFS(D$2:$D32,외피index!$B$8,C$2:$C32,C32),
IF($D32=외피index!$B$9, 외피index!$C$9&amp;"_"&amp;COUNTIFS(D$2:$D32,외피index!$B$9,C$2:$C32,C32),
IF($D32=외피index!$B$10, 외피index!$C$10&amp;"_"&amp;COUNTIFS(D$2:$D32,외피index!$B$10,C$2:$C32,C32), 0))))))))),"")</f>
        <v>1F_Zone005_RF_1</v>
      </c>
      <c r="B32" s="13" t="s">
        <v>37</v>
      </c>
      <c r="C32" s="13" t="s">
        <v>42</v>
      </c>
      <c r="D32" s="13" t="s">
        <v>24</v>
      </c>
      <c r="E32" s="4"/>
      <c r="F32" s="3">
        <v>3.7170383147895301</v>
      </c>
      <c r="G32" s="4"/>
      <c r="H32" s="13" t="s">
        <v>20</v>
      </c>
      <c r="I32" s="3">
        <v>0</v>
      </c>
      <c r="J32" s="4"/>
      <c r="K32" s="4"/>
      <c r="L32" s="4"/>
      <c r="M32" s="4"/>
      <c r="N32" s="4"/>
      <c r="O32" s="4"/>
      <c r="P32" s="4"/>
    </row>
    <row r="33" spans="1:16" x14ac:dyDescent="0.3">
      <c r="A33" s="12" t="str">
        <f>IFERROR(IF(D33="","",C33&amp;"_"&amp;
IF($D33=외피index!$B$3, 외피index!$C$3&amp;"_"&amp;COUNTIFS(D$2:$D33,외피index!$B$3,C$2:$C33,C33),
IF($D33=외피index!$B$4, 외피index!$C$4&amp;"_"&amp;COUNTIFS(D$2:$D33,외피index!$B$4,C$2:$C33,C33),
IF($D33=외피index!$B$5, 외피index!$C$5&amp;"_"&amp;COUNTIFS(D$2:$D33,외피index!$B$5,C$2:$C33,C33),
IF($D33=외피index!$B$6, 외피index!$C$6&amp;"_"&amp;COUNTIFS(D$2:$D33,외피index!$B$6,C$2:$C33,C33),
IF($D33=외피index!$B$7, 외피index!$C$7&amp;"_"&amp;COUNTIFS(D$2:$D33,외피index!$B$7,C$2:$C33,C33),
IF($D33=외피index!$B$8, 외피index!$C$8&amp;"_"&amp;COUNTIFS(D$2:$D33,외피index!$B$8,C$2:$C33,C33),
IF($D33=외피index!$B$9, 외피index!$C$9&amp;"_"&amp;COUNTIFS(D$2:$D33,외피index!$B$9,C$2:$C33,C33),
IF($D33=외피index!$B$10, 외피index!$C$10&amp;"_"&amp;COUNTIFS(D$2:$D33,외피index!$B$10,C$2:$C33,C33), 0))))))))),"")</f>
        <v>3F_Zone014_SL_1</v>
      </c>
      <c r="B33" s="13" t="s">
        <v>35</v>
      </c>
      <c r="C33" s="13" t="s">
        <v>19</v>
      </c>
      <c r="D33" s="13" t="s">
        <v>18</v>
      </c>
      <c r="E33" s="4"/>
      <c r="F33" s="3">
        <v>28.080031127901702</v>
      </c>
      <c r="G33" s="4" t="s">
        <v>17</v>
      </c>
      <c r="H33" s="13" t="s">
        <v>20</v>
      </c>
      <c r="I33" s="3">
        <v>180</v>
      </c>
      <c r="J33" s="4"/>
      <c r="K33" s="4"/>
      <c r="L33" s="4"/>
      <c r="M33" s="4"/>
      <c r="N33" s="4"/>
      <c r="O33" s="4"/>
      <c r="P33" s="4"/>
    </row>
    <row r="34" spans="1:16" x14ac:dyDescent="0.3">
      <c r="A34" s="12" t="str">
        <f>IFERROR(IF(D34="","",C34&amp;"_"&amp;
IF($D34=외피index!$B$3, 외피index!$C$3&amp;"_"&amp;COUNTIFS(D$2:$D34,외피index!$B$3,C$2:$C34,C34),
IF($D34=외피index!$B$4, 외피index!$C$4&amp;"_"&amp;COUNTIFS(D$2:$D34,외피index!$B$4,C$2:$C34,C34),
IF($D34=외피index!$B$5, 외피index!$C$5&amp;"_"&amp;COUNTIFS(D$2:$D34,외피index!$B$5,C$2:$C34,C34),
IF($D34=외피index!$B$6, 외피index!$C$6&amp;"_"&amp;COUNTIFS(D$2:$D34,외피index!$B$6,C$2:$C34,C34),
IF($D34=외피index!$B$7, 외피index!$C$7&amp;"_"&amp;COUNTIFS(D$2:$D34,외피index!$B$7,C$2:$C34,C34),
IF($D34=외피index!$B$8, 외피index!$C$8&amp;"_"&amp;COUNTIFS(D$2:$D34,외피index!$B$8,C$2:$C34,C34),
IF($D34=외피index!$B$9, 외피index!$C$9&amp;"_"&amp;COUNTIFS(D$2:$D34,외피index!$B$9,C$2:$C34,C34),
IF($D34=외피index!$B$10, 외피index!$C$10&amp;"_"&amp;COUNTIFS(D$2:$D34,외피index!$B$10,C$2:$C34,C34), 0))))))))),"")</f>
        <v>3F_Zone015_SL_1</v>
      </c>
      <c r="B34" s="13" t="s">
        <v>35</v>
      </c>
      <c r="C34" s="13" t="s">
        <v>22</v>
      </c>
      <c r="D34" s="13" t="s">
        <v>18</v>
      </c>
      <c r="E34" s="4"/>
      <c r="F34" s="3">
        <v>22.879954834003001</v>
      </c>
      <c r="G34" s="4" t="s">
        <v>21</v>
      </c>
      <c r="H34" s="13" t="s">
        <v>20</v>
      </c>
      <c r="I34" s="3">
        <v>180</v>
      </c>
      <c r="J34" s="4"/>
      <c r="K34" s="4"/>
      <c r="L34" s="4"/>
      <c r="M34" s="4"/>
      <c r="N34" s="4"/>
      <c r="O34" s="4"/>
      <c r="P34" s="4"/>
    </row>
    <row r="35" spans="1:16" x14ac:dyDescent="0.3">
      <c r="A35" s="12" t="str">
        <f>IFERROR(IF(D35="","",C35&amp;"_"&amp;
IF($D35=외피index!$B$3, 외피index!$C$3&amp;"_"&amp;COUNTIFS(D$2:$D35,외피index!$B$3,C$2:$C35,C35),
IF($D35=외피index!$B$4, 외피index!$C$4&amp;"_"&amp;COUNTIFS(D$2:$D35,외피index!$B$4,C$2:$C35,C35),
IF($D35=외피index!$B$5, 외피index!$C$5&amp;"_"&amp;COUNTIFS(D$2:$D35,외피index!$B$5,C$2:$C35,C35),
IF($D35=외피index!$B$6, 외피index!$C$6&amp;"_"&amp;COUNTIFS(D$2:$D35,외피index!$B$6,C$2:$C35,C35),
IF($D35=외피index!$B$7, 외피index!$C$7&amp;"_"&amp;COUNTIFS(D$2:$D35,외피index!$B$7,C$2:$C35,C35),
IF($D35=외피index!$B$8, 외피index!$C$8&amp;"_"&amp;COUNTIFS(D$2:$D35,외피index!$B$8,C$2:$C35,C35),
IF($D35=외피index!$B$9, 외피index!$C$9&amp;"_"&amp;COUNTIFS(D$2:$D35,외피index!$B$9,C$2:$C35,C35),
IF($D35=외피index!$B$10, 외피index!$C$10&amp;"_"&amp;COUNTIFS(D$2:$D35,외피index!$B$10,C$2:$C35,C35), 0))))))))),"")</f>
        <v>3F_Zone016_SL_2</v>
      </c>
      <c r="B35" s="13" t="s">
        <v>35</v>
      </c>
      <c r="C35" s="13" t="s">
        <v>26</v>
      </c>
      <c r="D35" s="13" t="s">
        <v>18</v>
      </c>
      <c r="E35" s="4"/>
      <c r="F35" s="3">
        <v>15.449966430664</v>
      </c>
      <c r="G35" s="4" t="s">
        <v>25</v>
      </c>
      <c r="H35" s="13" t="s">
        <v>20</v>
      </c>
      <c r="I35" s="3">
        <v>0</v>
      </c>
      <c r="J35" s="4"/>
      <c r="K35" s="4"/>
      <c r="L35" s="4"/>
      <c r="M35" s="4"/>
      <c r="N35" s="4"/>
      <c r="O35" s="4"/>
      <c r="P35" s="4"/>
    </row>
    <row r="36" spans="1:16" x14ac:dyDescent="0.3">
      <c r="A36" s="12" t="str">
        <f>IFERROR(IF(D36="","",C36&amp;"_"&amp;
IF($D36=외피index!$B$3, 외피index!$C$3&amp;"_"&amp;COUNTIFS(D$2:$D36,외피index!$B$3,C$2:$C36,C36),
IF($D36=외피index!$B$4, 외피index!$C$4&amp;"_"&amp;COUNTIFS(D$2:$D36,외피index!$B$4,C$2:$C36,C36),
IF($D36=외피index!$B$5, 외피index!$C$5&amp;"_"&amp;COUNTIFS(D$2:$D36,외피index!$B$5,C$2:$C36,C36),
IF($D36=외피index!$B$6, 외피index!$C$6&amp;"_"&amp;COUNTIFS(D$2:$D36,외피index!$B$6,C$2:$C36,C36),
IF($D36=외피index!$B$7, 외피index!$C$7&amp;"_"&amp;COUNTIFS(D$2:$D36,외피index!$B$7,C$2:$C36,C36),
IF($D36=외피index!$B$8, 외피index!$C$8&amp;"_"&amp;COUNTIFS(D$2:$D36,외피index!$B$8,C$2:$C36,C36),
IF($D36=외피index!$B$9, 외피index!$C$9&amp;"_"&amp;COUNTIFS(D$2:$D36,외피index!$B$9,C$2:$C36,C36),
IF($D36=외피index!$B$10, 외피index!$C$10&amp;"_"&amp;COUNTIFS(D$2:$D36,외피index!$B$10,C$2:$C36,C36), 0))))))))),"")</f>
        <v>3F_Zone015_SL_2</v>
      </c>
      <c r="B36" s="13" t="s">
        <v>35</v>
      </c>
      <c r="C36" s="13" t="s">
        <v>22</v>
      </c>
      <c r="D36" s="13" t="s">
        <v>18</v>
      </c>
      <c r="E36" s="4"/>
      <c r="F36" s="3">
        <v>14.0400552367791</v>
      </c>
      <c r="G36" s="4" t="s">
        <v>27</v>
      </c>
      <c r="H36" s="13" t="s">
        <v>20</v>
      </c>
      <c r="I36" s="3">
        <v>180</v>
      </c>
      <c r="J36" s="4"/>
      <c r="K36" s="4"/>
      <c r="L36" s="4"/>
      <c r="M36" s="4"/>
      <c r="N36" s="4"/>
      <c r="O36" s="4"/>
      <c r="P36" s="4"/>
    </row>
    <row r="37" spans="1:16" x14ac:dyDescent="0.3">
      <c r="A37" s="12" t="str">
        <f>IFERROR(IF(D37="","",C37&amp;"_"&amp;
IF($D37=외피index!$B$3, 외피index!$C$3&amp;"_"&amp;COUNTIFS(D$2:$D37,외피index!$B$3,C$2:$C37,C37),
IF($D37=외피index!$B$4, 외피index!$C$4&amp;"_"&amp;COUNTIFS(D$2:$D37,외피index!$B$4,C$2:$C37,C37),
IF($D37=외피index!$B$5, 외피index!$C$5&amp;"_"&amp;COUNTIFS(D$2:$D37,외피index!$B$5,C$2:$C37,C37),
IF($D37=외피index!$B$6, 외피index!$C$6&amp;"_"&amp;COUNTIFS(D$2:$D37,외피index!$B$6,C$2:$C37,C37),
IF($D37=외피index!$B$7, 외피index!$C$7&amp;"_"&amp;COUNTIFS(D$2:$D37,외피index!$B$7,C$2:$C37,C37),
IF($D37=외피index!$B$8, 외피index!$C$8&amp;"_"&amp;COUNTIFS(D$2:$D37,외피index!$B$8,C$2:$C37,C37),
IF($D37=외피index!$B$9, 외피index!$C$9&amp;"_"&amp;COUNTIFS(D$2:$D37,외피index!$B$9,C$2:$C37,C37),
IF($D37=외피index!$B$10, 외피index!$C$10&amp;"_"&amp;COUNTIFS(D$2:$D37,외피index!$B$10,C$2:$C37,C37), 0))))))))),"")</f>
        <v>3F_Zone017_SL_1</v>
      </c>
      <c r="B37" s="13" t="s">
        <v>35</v>
      </c>
      <c r="C37" s="13" t="s">
        <v>29</v>
      </c>
      <c r="D37" s="13" t="s">
        <v>18</v>
      </c>
      <c r="E37" s="4"/>
      <c r="F37" s="3">
        <v>8.6799365235492498</v>
      </c>
      <c r="G37" s="4" t="s">
        <v>17</v>
      </c>
      <c r="H37" s="13" t="s">
        <v>20</v>
      </c>
      <c r="I37" s="3">
        <v>180</v>
      </c>
      <c r="J37" s="4"/>
      <c r="K37" s="4"/>
      <c r="L37" s="4"/>
      <c r="M37" s="4"/>
      <c r="N37" s="4"/>
      <c r="O37" s="4"/>
      <c r="P37" s="4"/>
    </row>
    <row r="38" spans="1:16" x14ac:dyDescent="0.3">
      <c r="A38" s="12" t="str">
        <f>IFERROR(IF(D38="","",C38&amp;"_"&amp;
IF($D38=외피index!$B$3, 외피index!$C$3&amp;"_"&amp;COUNTIFS(D$2:$D38,외피index!$B$3,C$2:$C38,C38),
IF($D38=외피index!$B$4, 외피index!$C$4&amp;"_"&amp;COUNTIFS(D$2:$D38,외피index!$B$4,C$2:$C38,C38),
IF($D38=외피index!$B$5, 외피index!$C$5&amp;"_"&amp;COUNTIFS(D$2:$D38,외피index!$B$5,C$2:$C38,C38),
IF($D38=외피index!$B$6, 외피index!$C$6&amp;"_"&amp;COUNTIFS(D$2:$D38,외피index!$B$6,C$2:$C38,C38),
IF($D38=외피index!$B$7, 외피index!$C$7&amp;"_"&amp;COUNTIFS(D$2:$D38,외피index!$B$7,C$2:$C38,C38),
IF($D38=외피index!$B$8, 외피index!$C$8&amp;"_"&amp;COUNTIFS(D$2:$D38,외피index!$B$8,C$2:$C38,C38),
IF($D38=외피index!$B$9, 외피index!$C$9&amp;"_"&amp;COUNTIFS(D$2:$D38,외피index!$B$9,C$2:$C38,C38),
IF($D38=외피index!$B$10, 외피index!$C$10&amp;"_"&amp;COUNTIFS(D$2:$D38,외피index!$B$10,C$2:$C38,C38), 0))))))))),"")</f>
        <v>3F_Zone016_SL_3</v>
      </c>
      <c r="B38" s="13" t="s">
        <v>35</v>
      </c>
      <c r="C38" s="13" t="s">
        <v>26</v>
      </c>
      <c r="D38" s="13" t="s">
        <v>18</v>
      </c>
      <c r="E38" s="4"/>
      <c r="F38" s="3">
        <v>5.8799914550036103</v>
      </c>
      <c r="G38" s="4" t="s">
        <v>17</v>
      </c>
      <c r="H38" s="13" t="s">
        <v>20</v>
      </c>
      <c r="I38" s="3">
        <v>0</v>
      </c>
      <c r="J38" s="4"/>
      <c r="K38" s="4"/>
      <c r="L38" s="4"/>
      <c r="M38" s="4"/>
      <c r="N38" s="4"/>
      <c r="O38" s="4"/>
      <c r="P38" s="4"/>
    </row>
    <row r="39" spans="1:16" x14ac:dyDescent="0.3">
      <c r="A39" s="12" t="str">
        <f>IFERROR(IF(D39="","",C39&amp;"_"&amp;
IF($D39=외피index!$B$3, 외피index!$C$3&amp;"_"&amp;COUNTIFS(D$2:$D39,외피index!$B$3,C$2:$C39,C39),
IF($D39=외피index!$B$4, 외피index!$C$4&amp;"_"&amp;COUNTIFS(D$2:$D39,외피index!$B$4,C$2:$C39,C39),
IF($D39=외피index!$B$5, 외피index!$C$5&amp;"_"&amp;COUNTIFS(D$2:$D39,외피index!$B$5,C$2:$C39,C39),
IF($D39=외피index!$B$6, 외피index!$C$6&amp;"_"&amp;COUNTIFS(D$2:$D39,외피index!$B$6,C$2:$C39,C39),
IF($D39=외피index!$B$7, 외피index!$C$7&amp;"_"&amp;COUNTIFS(D$2:$D39,외피index!$B$7,C$2:$C39,C39),
IF($D39=외피index!$B$8, 외피index!$C$8&amp;"_"&amp;COUNTIFS(D$2:$D39,외피index!$B$8,C$2:$C39,C39),
IF($D39=외피index!$B$9, 외피index!$C$9&amp;"_"&amp;COUNTIFS(D$2:$D39,외피index!$B$9,C$2:$C39,C39),
IF($D39=외피index!$B$10, 외피index!$C$10&amp;"_"&amp;COUNTIFS(D$2:$D39,외피index!$B$10,C$2:$C39,C39), 0))))))))),"")</f>
        <v>3F_Zone019_SL_1</v>
      </c>
      <c r="B39" s="13" t="s">
        <v>35</v>
      </c>
      <c r="C39" s="13" t="s">
        <v>31</v>
      </c>
      <c r="D39" s="13" t="s">
        <v>18</v>
      </c>
      <c r="E39" s="4"/>
      <c r="F39" s="3">
        <v>5.5822344818152398</v>
      </c>
      <c r="G39" s="4" t="s">
        <v>25</v>
      </c>
      <c r="H39" s="13" t="s">
        <v>20</v>
      </c>
      <c r="I39" s="3">
        <v>0</v>
      </c>
      <c r="J39" s="4"/>
      <c r="K39" s="4"/>
      <c r="L39" s="4"/>
      <c r="M39" s="4"/>
      <c r="N39" s="4"/>
      <c r="O39" s="4"/>
      <c r="P39" s="4"/>
    </row>
    <row r="40" spans="1:16" x14ac:dyDescent="0.3">
      <c r="A40" s="12" t="str">
        <f>IFERROR(IF(D40="","",C40&amp;"_"&amp;
IF($D40=외피index!$B$3, 외피index!$C$3&amp;"_"&amp;COUNTIFS(D$2:$D40,외피index!$B$3,C$2:$C40,C40),
IF($D40=외피index!$B$4, 외피index!$C$4&amp;"_"&amp;COUNTIFS(D$2:$D40,외피index!$B$4,C$2:$C40,C40),
IF($D40=외피index!$B$5, 외피index!$C$5&amp;"_"&amp;COUNTIFS(D$2:$D40,외피index!$B$5,C$2:$C40,C40),
IF($D40=외피index!$B$6, 외피index!$C$6&amp;"_"&amp;COUNTIFS(D$2:$D40,외피index!$B$6,C$2:$C40,C40),
IF($D40=외피index!$B$7, 외피index!$C$7&amp;"_"&amp;COUNTIFS(D$2:$D40,외피index!$B$7,C$2:$C40,C40),
IF($D40=외피index!$B$8, 외피index!$C$8&amp;"_"&amp;COUNTIFS(D$2:$D40,외피index!$B$8,C$2:$C40,C40),
IF($D40=외피index!$B$9, 외피index!$C$9&amp;"_"&amp;COUNTIFS(D$2:$D40,외피index!$B$9,C$2:$C40,C40),
IF($D40=외피index!$B$10, 외피index!$C$10&amp;"_"&amp;COUNTIFS(D$2:$D40,외피index!$B$10,C$2:$C40,C40), 0))))))))),"")</f>
        <v>3F_Zone020_SL_1</v>
      </c>
      <c r="B40" s="13" t="s">
        <v>35</v>
      </c>
      <c r="C40" s="13" t="s">
        <v>33</v>
      </c>
      <c r="D40" s="13" t="s">
        <v>18</v>
      </c>
      <c r="E40" s="4"/>
      <c r="F40" s="3">
        <v>4.79998779296875</v>
      </c>
      <c r="G40" s="4" t="s">
        <v>32</v>
      </c>
      <c r="H40" s="13" t="s">
        <v>20</v>
      </c>
      <c r="I40" s="3">
        <v>180</v>
      </c>
      <c r="J40" s="4"/>
      <c r="K40" s="4"/>
      <c r="L40" s="4"/>
      <c r="M40" s="4"/>
      <c r="N40" s="4"/>
      <c r="O40" s="4"/>
      <c r="P40" s="4"/>
    </row>
    <row r="41" spans="1:16" x14ac:dyDescent="0.3">
      <c r="A41" s="12" t="str">
        <f>IFERROR(IF(D41="","",C41&amp;"_"&amp;
IF($D41=외피index!$B$3, 외피index!$C$3&amp;"_"&amp;COUNTIFS(D$2:$D41,외피index!$B$3,C$2:$C41,C41),
IF($D41=외피index!$B$4, 외피index!$C$4&amp;"_"&amp;COUNTIFS(D$2:$D41,외피index!$B$4,C$2:$C41,C41),
IF($D41=외피index!$B$5, 외피index!$C$5&amp;"_"&amp;COUNTIFS(D$2:$D41,외피index!$B$5,C$2:$C41,C41),
IF($D41=외피index!$B$6, 외피index!$C$6&amp;"_"&amp;COUNTIFS(D$2:$D41,외피index!$B$6,C$2:$C41,C41),
IF($D41=외피index!$B$7, 외피index!$C$7&amp;"_"&amp;COUNTIFS(D$2:$D41,외피index!$B$7,C$2:$C41,C41),
IF($D41=외피index!$B$8, 외피index!$C$8&amp;"_"&amp;COUNTIFS(D$2:$D41,외피index!$B$8,C$2:$C41,C41),
IF($D41=외피index!$B$9, 외피index!$C$9&amp;"_"&amp;COUNTIFS(D$2:$D41,외피index!$B$9,C$2:$C41,C41),
IF($D41=외피index!$B$10, 외피index!$C$10&amp;"_"&amp;COUNTIFS(D$2:$D41,외피index!$B$10,C$2:$C41,C41), 0))))))))),"")</f>
        <v>3F_Zone018_SL_2</v>
      </c>
      <c r="B41" s="13" t="s">
        <v>35</v>
      </c>
      <c r="C41" s="13" t="s">
        <v>34</v>
      </c>
      <c r="D41" s="13" t="s">
        <v>18</v>
      </c>
      <c r="E41" s="4"/>
      <c r="F41" s="3">
        <v>1.89000869751907</v>
      </c>
      <c r="G41" s="4" t="s">
        <v>30</v>
      </c>
      <c r="H41" s="13" t="s">
        <v>20</v>
      </c>
      <c r="I41" s="3">
        <v>0</v>
      </c>
      <c r="J41" s="4"/>
      <c r="K41" s="4"/>
      <c r="L41" s="4"/>
      <c r="M41" s="4"/>
      <c r="N41" s="4"/>
      <c r="O41" s="4"/>
      <c r="P41" s="4"/>
    </row>
    <row r="42" spans="1:16" x14ac:dyDescent="0.3">
      <c r="A42" s="12" t="str">
        <f>IFERROR(IF(D42="","",C42&amp;"_"&amp;
IF($D42=외피index!$B$3, 외피index!$C$3&amp;"_"&amp;COUNTIFS(D$2:$D42,외피index!$B$3,C$2:$C42,C42),
IF($D42=외피index!$B$4, 외피index!$C$4&amp;"_"&amp;COUNTIFS(D$2:$D42,외피index!$B$4,C$2:$C42,C42),
IF($D42=외피index!$B$5, 외피index!$C$5&amp;"_"&amp;COUNTIFS(D$2:$D42,외피index!$B$5,C$2:$C42,C42),
IF($D42=외피index!$B$6, 외피index!$C$6&amp;"_"&amp;COUNTIFS(D$2:$D42,외피index!$B$6,C$2:$C42,C42),
IF($D42=외피index!$B$7, 외피index!$C$7&amp;"_"&amp;COUNTIFS(D$2:$D42,외피index!$B$7,C$2:$C42,C42),
IF($D42=외피index!$B$8, 외피index!$C$8&amp;"_"&amp;COUNTIFS(D$2:$D42,외피index!$B$8,C$2:$C42,C42),
IF($D42=외피index!$B$9, 외피index!$C$9&amp;"_"&amp;COUNTIFS(D$2:$D42,외피index!$B$9,C$2:$C42,C42),
IF($D42=외피index!$B$10, 외피index!$C$10&amp;"_"&amp;COUNTIFS(D$2:$D42,외피index!$B$10,C$2:$C42,C42), 0))))))))),"")</f>
        <v>3F_Zone018_SL_3</v>
      </c>
      <c r="B42" s="13" t="s">
        <v>35</v>
      </c>
      <c r="C42" s="13" t="s">
        <v>34</v>
      </c>
      <c r="D42" s="13" t="s">
        <v>18</v>
      </c>
      <c r="E42" s="4"/>
      <c r="F42" s="3">
        <v>1.8899697875604</v>
      </c>
      <c r="G42" s="4" t="s">
        <v>43</v>
      </c>
      <c r="H42" s="13" t="s">
        <v>20</v>
      </c>
      <c r="I42" s="3">
        <v>0</v>
      </c>
      <c r="J42" s="4"/>
      <c r="K42" s="4"/>
      <c r="L42" s="4"/>
      <c r="M42" s="4"/>
      <c r="N42" s="4"/>
      <c r="O42" s="4"/>
      <c r="P42" s="4"/>
    </row>
    <row r="43" spans="1:16" x14ac:dyDescent="0.3">
      <c r="A43" s="12" t="str">
        <f>IFERROR(IF(D43="","",C43&amp;"_"&amp;
IF($D43=외피index!$B$3, 외피index!$C$3&amp;"_"&amp;COUNTIFS(D$2:$D43,외피index!$B$3,C$2:$C43,C43),
IF($D43=외피index!$B$4, 외피index!$C$4&amp;"_"&amp;COUNTIFS(D$2:$D43,외피index!$B$4,C$2:$C43,C43),
IF($D43=외피index!$B$5, 외피index!$C$5&amp;"_"&amp;COUNTIFS(D$2:$D43,외피index!$B$5,C$2:$C43,C43),
IF($D43=외피index!$B$6, 외피index!$C$6&amp;"_"&amp;COUNTIFS(D$2:$D43,외피index!$B$6,C$2:$C43,C43),
IF($D43=외피index!$B$7, 외피index!$C$7&amp;"_"&amp;COUNTIFS(D$2:$D43,외피index!$B$7,C$2:$C43,C43),
IF($D43=외피index!$B$8, 외피index!$C$8&amp;"_"&amp;COUNTIFS(D$2:$D43,외피index!$B$8,C$2:$C43,C43),
IF($D43=외피index!$B$9, 외피index!$C$9&amp;"_"&amp;COUNTIFS(D$2:$D43,외피index!$B$9,C$2:$C43,C43),
IF($D43=외피index!$B$10, 외피index!$C$10&amp;"_"&amp;COUNTIFS(D$2:$D43,외피index!$B$10,C$2:$C43,C43), 0))))))))),"")</f>
        <v>3F_Zone019_SL_2</v>
      </c>
      <c r="B43" s="13" t="s">
        <v>35</v>
      </c>
      <c r="C43" s="13" t="s">
        <v>31</v>
      </c>
      <c r="D43" s="13" t="s">
        <v>18</v>
      </c>
      <c r="E43" s="4"/>
      <c r="F43" s="3">
        <v>1.71674922178499</v>
      </c>
      <c r="G43" s="4" t="s">
        <v>28</v>
      </c>
      <c r="H43" s="13" t="s">
        <v>20</v>
      </c>
      <c r="I43" s="3">
        <v>0</v>
      </c>
      <c r="J43" s="4"/>
      <c r="K43" s="4"/>
      <c r="L43" s="4"/>
      <c r="M43" s="4"/>
      <c r="N43" s="4"/>
      <c r="O43" s="4"/>
      <c r="P43" s="4"/>
    </row>
    <row r="44" spans="1:16" x14ac:dyDescent="0.3">
      <c r="A44" s="12" t="str">
        <f>IFERROR(IF(D44="","",C44&amp;"_"&amp;
IF($D44=외피index!$B$3, 외피index!$C$3&amp;"_"&amp;COUNTIFS(D$2:$D44,외피index!$B$3,C$2:$C44,C44),
IF($D44=외피index!$B$4, 외피index!$C$4&amp;"_"&amp;COUNTIFS(D$2:$D44,외피index!$B$4,C$2:$C44,C44),
IF($D44=외피index!$B$5, 외피index!$C$5&amp;"_"&amp;COUNTIFS(D$2:$D44,외피index!$B$5,C$2:$C44,C44),
IF($D44=외피index!$B$6, 외피index!$C$6&amp;"_"&amp;COUNTIFS(D$2:$D44,외피index!$B$6,C$2:$C44,C44),
IF($D44=외피index!$B$7, 외피index!$C$7&amp;"_"&amp;COUNTIFS(D$2:$D44,외피index!$B$7,C$2:$C44,C44),
IF($D44=외피index!$B$8, 외피index!$C$8&amp;"_"&amp;COUNTIFS(D$2:$D44,외피index!$B$8,C$2:$C44,C44),
IF($D44=외피index!$B$9, 외피index!$C$9&amp;"_"&amp;COUNTIFS(D$2:$D44,외피index!$B$9,C$2:$C44,C44),
IF($D44=외피index!$B$10, 외피index!$C$10&amp;"_"&amp;COUNTIFS(D$2:$D44,외피index!$B$10,C$2:$C44,C44), 0))))))))),"")</f>
        <v>3F_Zone019_SL_3</v>
      </c>
      <c r="B44" s="13" t="s">
        <v>35</v>
      </c>
      <c r="C44" s="13" t="s">
        <v>31</v>
      </c>
      <c r="D44" s="13" t="s">
        <v>18</v>
      </c>
      <c r="E44" s="4"/>
      <c r="F44" s="3">
        <v>1.15500976564362</v>
      </c>
      <c r="G44" s="4" t="s">
        <v>30</v>
      </c>
      <c r="H44" s="13" t="s">
        <v>20</v>
      </c>
      <c r="I44" s="3">
        <v>0</v>
      </c>
      <c r="J44" s="4"/>
      <c r="K44" s="4"/>
      <c r="L44" s="4"/>
      <c r="M44" s="4"/>
      <c r="N44" s="4"/>
      <c r="O44" s="4"/>
      <c r="P44" s="4"/>
    </row>
    <row r="45" spans="1:16" x14ac:dyDescent="0.3">
      <c r="A45" s="12" t="str">
        <f>IFERROR(IF(D45="","",C45&amp;"_"&amp;
IF($D45=외피index!$B$3, 외피index!$C$3&amp;"_"&amp;COUNTIFS(D$2:$D45,외피index!$B$3,C$2:$C45,C45),
IF($D45=외피index!$B$4, 외피index!$C$4&amp;"_"&amp;COUNTIFS(D$2:$D45,외피index!$B$4,C$2:$C45,C45),
IF($D45=외피index!$B$5, 외피index!$C$5&amp;"_"&amp;COUNTIFS(D$2:$D45,외피index!$B$5,C$2:$C45,C45),
IF($D45=외피index!$B$6, 외피index!$C$6&amp;"_"&amp;COUNTIFS(D$2:$D45,외피index!$B$6,C$2:$C45,C45),
IF($D45=외피index!$B$7, 외피index!$C$7&amp;"_"&amp;COUNTIFS(D$2:$D45,외피index!$B$7,C$2:$C45,C45),
IF($D45=외피index!$B$8, 외피index!$C$8&amp;"_"&amp;COUNTIFS(D$2:$D45,외피index!$B$8,C$2:$C45,C45),
IF($D45=외피index!$B$9, 외피index!$C$9&amp;"_"&amp;COUNTIFS(D$2:$D45,외피index!$B$9,C$2:$C45,C45),
IF($D45=외피index!$B$10, 외피index!$C$10&amp;"_"&amp;COUNTIFS(D$2:$D45,외피index!$B$10,C$2:$C45,C45), 0))))))))),"")</f>
        <v>3F_Zone020_SL_2</v>
      </c>
      <c r="B45" s="13" t="s">
        <v>35</v>
      </c>
      <c r="C45" s="13" t="s">
        <v>33</v>
      </c>
      <c r="D45" s="13" t="s">
        <v>18</v>
      </c>
      <c r="E45" s="4"/>
      <c r="F45" s="3">
        <v>0.76274812314659302</v>
      </c>
      <c r="G45" s="4" t="s">
        <v>25</v>
      </c>
      <c r="H45" s="13" t="s">
        <v>20</v>
      </c>
      <c r="I45" s="3">
        <v>0</v>
      </c>
      <c r="J45" s="4"/>
      <c r="K45" s="4"/>
      <c r="L45" s="4"/>
      <c r="M45" s="4"/>
      <c r="N45" s="4"/>
      <c r="O45" s="4"/>
      <c r="P45" s="4"/>
    </row>
    <row r="46" spans="1:16" x14ac:dyDescent="0.3">
      <c r="A46" s="12" t="str">
        <f>IFERROR(IF(D46="","",C46&amp;"_"&amp;
IF($D46=외피index!$B$3, 외피index!$C$3&amp;"_"&amp;COUNTIFS(D$2:$D46,외피index!$B$3,C$2:$C46,C46),
IF($D46=외피index!$B$4, 외피index!$C$4&amp;"_"&amp;COUNTIFS(D$2:$D46,외피index!$B$4,C$2:$C46,C46),
IF($D46=외피index!$B$5, 외피index!$C$5&amp;"_"&amp;COUNTIFS(D$2:$D46,외피index!$B$5,C$2:$C46,C46),
IF($D46=외피index!$B$6, 외피index!$C$6&amp;"_"&amp;COUNTIFS(D$2:$D46,외피index!$B$6,C$2:$C46,C46),
IF($D46=외피index!$B$7, 외피index!$C$7&amp;"_"&amp;COUNTIFS(D$2:$D46,외피index!$B$7,C$2:$C46,C46),
IF($D46=외피index!$B$8, 외피index!$C$8&amp;"_"&amp;COUNTIFS(D$2:$D46,외피index!$B$8,C$2:$C46,C46),
IF($D46=외피index!$B$9, 외피index!$C$9&amp;"_"&amp;COUNTIFS(D$2:$D46,외피index!$B$9,C$2:$C46,C46),
IF($D46=외피index!$B$10, 외피index!$C$10&amp;"_"&amp;COUNTIFS(D$2:$D46,외피index!$B$10,C$2:$C46,C46), 0))))))))),"")</f>
        <v>3F_Zone020_SL_3</v>
      </c>
      <c r="B46" s="13" t="s">
        <v>35</v>
      </c>
      <c r="C46" s="13" t="s">
        <v>33</v>
      </c>
      <c r="D46" s="13" t="s">
        <v>18</v>
      </c>
      <c r="E46" s="4"/>
      <c r="F46" s="3">
        <v>0.59325428772717703</v>
      </c>
      <c r="G46" s="4" t="s">
        <v>28</v>
      </c>
      <c r="H46" s="13" t="s">
        <v>20</v>
      </c>
      <c r="I46" s="3">
        <v>0</v>
      </c>
      <c r="J46" s="4"/>
      <c r="K46" s="4"/>
      <c r="L46" s="4"/>
      <c r="M46" s="4"/>
      <c r="N46" s="4"/>
      <c r="O46" s="4"/>
      <c r="P46" s="4"/>
    </row>
    <row r="47" spans="1:16" x14ac:dyDescent="0.3">
      <c r="A47" s="12" t="str">
        <f>IFERROR(IF(D47="","",C47&amp;"_"&amp;
IF($D47=외피index!$B$3, 외피index!$C$3&amp;"_"&amp;COUNTIFS(D$2:$D47,외피index!$B$3,C$2:$C47,C47),
IF($D47=외피index!$B$4, 외피index!$C$4&amp;"_"&amp;COUNTIFS(D$2:$D47,외피index!$B$4,C$2:$C47,C47),
IF($D47=외피index!$B$5, 외피index!$C$5&amp;"_"&amp;COUNTIFS(D$2:$D47,외피index!$B$5,C$2:$C47,C47),
IF($D47=외피index!$B$6, 외피index!$C$6&amp;"_"&amp;COUNTIFS(D$2:$D47,외피index!$B$6,C$2:$C47,C47),
IF($D47=외피index!$B$7, 외피index!$C$7&amp;"_"&amp;COUNTIFS(D$2:$D47,외피index!$B$7,C$2:$C47,C47),
IF($D47=외피index!$B$8, 외피index!$C$8&amp;"_"&amp;COUNTIFS(D$2:$D47,외피index!$B$8,C$2:$C47,C47),
IF($D47=외피index!$B$9, 외피index!$C$9&amp;"_"&amp;COUNTIFS(D$2:$D47,외피index!$B$9,C$2:$C47,C47),
IF($D47=외피index!$B$10, 외피index!$C$10&amp;"_"&amp;COUNTIFS(D$2:$D47,외피index!$B$10,C$2:$C47,C47), 0))))))))),"")</f>
        <v>4F_Zone021_SL_1</v>
      </c>
      <c r="B47" s="13" t="s">
        <v>41</v>
      </c>
      <c r="C47" s="13" t="s">
        <v>36</v>
      </c>
      <c r="D47" s="13" t="s">
        <v>18</v>
      </c>
      <c r="E47" s="4"/>
      <c r="F47" s="3">
        <v>15.449966430664</v>
      </c>
      <c r="G47" s="4" t="s">
        <v>26</v>
      </c>
      <c r="H47" s="13" t="s">
        <v>20</v>
      </c>
      <c r="I47" s="3">
        <v>180</v>
      </c>
      <c r="J47" s="4"/>
      <c r="K47" s="4"/>
      <c r="L47" s="4"/>
      <c r="M47" s="4"/>
      <c r="N47" s="4"/>
      <c r="O47" s="4"/>
      <c r="P47" s="4"/>
    </row>
    <row r="48" spans="1:16" x14ac:dyDescent="0.3">
      <c r="A48" s="12" t="str">
        <f>IFERROR(IF(D48="","",C48&amp;"_"&amp;
IF($D48=외피index!$B$3, 외피index!$C$3&amp;"_"&amp;COUNTIFS(D$2:$D48,외피index!$B$3,C$2:$C48,C48),
IF($D48=외피index!$B$4, 외피index!$C$4&amp;"_"&amp;COUNTIFS(D$2:$D48,외피index!$B$4,C$2:$C48,C48),
IF($D48=외피index!$B$5, 외피index!$C$5&amp;"_"&amp;COUNTIFS(D$2:$D48,외피index!$B$5,C$2:$C48,C48),
IF($D48=외피index!$B$6, 외피index!$C$6&amp;"_"&amp;COUNTIFS(D$2:$D48,외피index!$B$6,C$2:$C48,C48),
IF($D48=외피index!$B$7, 외피index!$C$7&amp;"_"&amp;COUNTIFS(D$2:$D48,외피index!$B$7,C$2:$C48,C48),
IF($D48=외피index!$B$8, 외피index!$C$8&amp;"_"&amp;COUNTIFS(D$2:$D48,외피index!$B$8,C$2:$C48,C48),
IF($D48=외피index!$B$9, 외피index!$C$9&amp;"_"&amp;COUNTIFS(D$2:$D48,외피index!$B$9,C$2:$C48,C48),
IF($D48=외피index!$B$10, 외피index!$C$10&amp;"_"&amp;COUNTIFS(D$2:$D48,외피index!$B$10,C$2:$C48,C48), 0))))))))),"")</f>
        <v>4F_Zone021_SL_2</v>
      </c>
      <c r="B48" s="13" t="s">
        <v>41</v>
      </c>
      <c r="C48" s="13" t="s">
        <v>36</v>
      </c>
      <c r="D48" s="13" t="s">
        <v>18</v>
      </c>
      <c r="E48" s="4"/>
      <c r="F48" s="3">
        <v>1.3499908447265601</v>
      </c>
      <c r="G48" s="4" t="s">
        <v>34</v>
      </c>
      <c r="H48" s="13" t="s">
        <v>20</v>
      </c>
      <c r="I48" s="3">
        <v>180</v>
      </c>
      <c r="J48" s="4"/>
      <c r="K48" s="4"/>
      <c r="L48" s="4"/>
      <c r="M48" s="4"/>
      <c r="N48" s="4"/>
      <c r="O48" s="4"/>
      <c r="P48" s="4"/>
    </row>
    <row r="49" spans="1:16" x14ac:dyDescent="0.3">
      <c r="A49" s="12" t="str">
        <f>IFERROR(IF(D49="","",C49&amp;"_"&amp;
IF($D49=외피index!$B$3, 외피index!$C$3&amp;"_"&amp;COUNTIFS(D$2:$D49,외피index!$B$3,C$2:$C49,C49),
IF($D49=외피index!$B$4, 외피index!$C$4&amp;"_"&amp;COUNTIFS(D$2:$D49,외피index!$B$4,C$2:$C49,C49),
IF($D49=외피index!$B$5, 외피index!$C$5&amp;"_"&amp;COUNTIFS(D$2:$D49,외피index!$B$5,C$2:$C49,C49),
IF($D49=외피index!$B$6, 외피index!$C$6&amp;"_"&amp;COUNTIFS(D$2:$D49,외피index!$B$6,C$2:$C49,C49),
IF($D49=외피index!$B$7, 외피index!$C$7&amp;"_"&amp;COUNTIFS(D$2:$D49,외피index!$B$7,C$2:$C49,C49),
IF($D49=외피index!$B$8, 외피index!$C$8&amp;"_"&amp;COUNTIFS(D$2:$D49,외피index!$B$8,C$2:$C49,C49),
IF($D49=외피index!$B$9, 외피index!$C$9&amp;"_"&amp;COUNTIFS(D$2:$D49,외피index!$B$9,C$2:$C49,C49),
IF($D49=외피index!$B$10, 외피index!$C$10&amp;"_"&amp;COUNTIFS(D$2:$D49,외피index!$B$10,C$2:$C49,C49), 0))))))))),"")</f>
        <v>2F_Zone006_SL_4</v>
      </c>
      <c r="B49" s="13" t="s">
        <v>16</v>
      </c>
      <c r="C49" s="13" t="s">
        <v>17</v>
      </c>
      <c r="D49" s="13" t="s">
        <v>18</v>
      </c>
      <c r="E49" s="4"/>
      <c r="F49" s="3">
        <v>42.639959106454597</v>
      </c>
      <c r="G49" s="4" t="s">
        <v>38</v>
      </c>
      <c r="H49" s="13" t="s">
        <v>20</v>
      </c>
      <c r="I49" s="3">
        <v>0</v>
      </c>
      <c r="J49" s="4"/>
      <c r="K49" s="4"/>
      <c r="L49" s="4"/>
      <c r="M49" s="4"/>
      <c r="N49" s="4"/>
      <c r="O49" s="4"/>
      <c r="P49" s="4"/>
    </row>
    <row r="50" spans="1:16" x14ac:dyDescent="0.3">
      <c r="A50" s="12" t="str">
        <f>IFERROR(IF(D50="","",C50&amp;"_"&amp;
IF($D50=외피index!$B$3, 외피index!$C$3&amp;"_"&amp;COUNTIFS(D$2:$D50,외피index!$B$3,C$2:$C50,C50),
IF($D50=외피index!$B$4, 외피index!$C$4&amp;"_"&amp;COUNTIFS(D$2:$D50,외피index!$B$4,C$2:$C50,C50),
IF($D50=외피index!$B$5, 외피index!$C$5&amp;"_"&amp;COUNTIFS(D$2:$D50,외피index!$B$5,C$2:$C50,C50),
IF($D50=외피index!$B$6, 외피index!$C$6&amp;"_"&amp;COUNTIFS(D$2:$D50,외피index!$B$6,C$2:$C50,C50),
IF($D50=외피index!$B$7, 외피index!$C$7&amp;"_"&amp;COUNTIFS(D$2:$D50,외피index!$B$7,C$2:$C50,C50),
IF($D50=외피index!$B$8, 외피index!$C$8&amp;"_"&amp;COUNTIFS(D$2:$D50,외피index!$B$8,C$2:$C50,C50),
IF($D50=외피index!$B$9, 외피index!$C$9&amp;"_"&amp;COUNTIFS(D$2:$D50,외피index!$B$9,C$2:$C50,C50),
IF($D50=외피index!$B$10, 외피index!$C$10&amp;"_"&amp;COUNTIFS(D$2:$D50,외피index!$B$10,C$2:$C50,C50), 0))))))))),"")</f>
        <v>2F_Zone007_FR_1</v>
      </c>
      <c r="B50" s="13" t="s">
        <v>16</v>
      </c>
      <c r="C50" s="13" t="s">
        <v>21</v>
      </c>
      <c r="D50" s="13" t="s">
        <v>44</v>
      </c>
      <c r="E50" s="4"/>
      <c r="F50" s="3">
        <v>22.879954834003001</v>
      </c>
      <c r="G50" s="4"/>
      <c r="H50" s="13" t="s">
        <v>20</v>
      </c>
      <c r="I50" s="3">
        <v>180</v>
      </c>
      <c r="J50" s="4"/>
      <c r="K50" s="4"/>
      <c r="L50" s="4"/>
      <c r="M50" s="4"/>
      <c r="N50" s="4"/>
      <c r="O50" s="4"/>
      <c r="P50" s="4"/>
    </row>
    <row r="51" spans="1:16" x14ac:dyDescent="0.3">
      <c r="A51" s="12" t="str">
        <f>IFERROR(IF(D51="","",C51&amp;"_"&amp;
IF($D51=외피index!$B$3, 외피index!$C$3&amp;"_"&amp;COUNTIFS(D$2:$D51,외피index!$B$3,C$2:$C51,C51),
IF($D51=외피index!$B$4, 외피index!$C$4&amp;"_"&amp;COUNTIFS(D$2:$D51,외피index!$B$4,C$2:$C51,C51),
IF($D51=외피index!$B$5, 외피index!$C$5&amp;"_"&amp;COUNTIFS(D$2:$D51,외피index!$B$5,C$2:$C51,C51),
IF($D51=외피index!$B$6, 외피index!$C$6&amp;"_"&amp;COUNTIFS(D$2:$D51,외피index!$B$6,C$2:$C51,C51),
IF($D51=외피index!$B$7, 외피index!$C$7&amp;"_"&amp;COUNTIFS(D$2:$D51,외피index!$B$7,C$2:$C51,C51),
IF($D51=외피index!$B$8, 외피index!$C$8&amp;"_"&amp;COUNTIFS(D$2:$D51,외피index!$B$8,C$2:$C51,C51),
IF($D51=외피index!$B$9, 외피index!$C$9&amp;"_"&amp;COUNTIFS(D$2:$D51,외피index!$B$9,C$2:$C51,C51),
IF($D51=외피index!$B$10, 외피index!$C$10&amp;"_"&amp;COUNTIFS(D$2:$D51,외피index!$B$10,C$2:$C51,C51), 0))))))))),"")</f>
        <v>2F_Zone008_SL_4</v>
      </c>
      <c r="B51" s="13" t="s">
        <v>16</v>
      </c>
      <c r="C51" s="13" t="s">
        <v>25</v>
      </c>
      <c r="D51" s="13" t="s">
        <v>18</v>
      </c>
      <c r="E51" s="4"/>
      <c r="F51" s="3">
        <v>16.7999572753906</v>
      </c>
      <c r="G51" s="4" t="s">
        <v>39</v>
      </c>
      <c r="H51" s="13" t="s">
        <v>20</v>
      </c>
      <c r="I51" s="3">
        <v>180</v>
      </c>
      <c r="J51" s="4"/>
      <c r="K51" s="4"/>
      <c r="L51" s="4"/>
      <c r="M51" s="4"/>
      <c r="N51" s="4"/>
      <c r="O51" s="4"/>
      <c r="P51" s="4"/>
    </row>
    <row r="52" spans="1:16" x14ac:dyDescent="0.3">
      <c r="A52" s="12" t="str">
        <f>IFERROR(IF(D52="","",C52&amp;"_"&amp;
IF($D52=외피index!$B$3, 외피index!$C$3&amp;"_"&amp;COUNTIFS(D$2:$D52,외피index!$B$3,C$2:$C52,C52),
IF($D52=외피index!$B$4, 외피index!$C$4&amp;"_"&amp;COUNTIFS(D$2:$D52,외피index!$B$4,C$2:$C52,C52),
IF($D52=외피index!$B$5, 외피index!$C$5&amp;"_"&amp;COUNTIFS(D$2:$D52,외피index!$B$5,C$2:$C52,C52),
IF($D52=외피index!$B$6, 외피index!$C$6&amp;"_"&amp;COUNTIFS(D$2:$D52,외피index!$B$6,C$2:$C52,C52),
IF($D52=외피index!$B$7, 외피index!$C$7&amp;"_"&amp;COUNTIFS(D$2:$D52,외피index!$B$7,C$2:$C52,C52),
IF($D52=외피index!$B$8, 외피index!$C$8&amp;"_"&amp;COUNTIFS(D$2:$D52,외피index!$B$8,C$2:$C52,C52),
IF($D52=외피index!$B$9, 외피index!$C$9&amp;"_"&amp;COUNTIFS(D$2:$D52,외피index!$B$9,C$2:$C52,C52),
IF($D52=외피index!$B$10, 외피index!$C$10&amp;"_"&amp;COUNTIFS(D$2:$D52,외피index!$B$10,C$2:$C52,C52), 0))))))))),"")</f>
        <v>2F_Zone009_FR_1</v>
      </c>
      <c r="B52" s="13" t="s">
        <v>16</v>
      </c>
      <c r="C52" s="13" t="s">
        <v>27</v>
      </c>
      <c r="D52" s="13" t="s">
        <v>44</v>
      </c>
      <c r="E52" s="4"/>
      <c r="F52" s="3">
        <v>14.0400552367791</v>
      </c>
      <c r="G52" s="4"/>
      <c r="H52" s="13" t="s">
        <v>20</v>
      </c>
      <c r="I52" s="3">
        <v>180</v>
      </c>
      <c r="J52" s="4"/>
      <c r="K52" s="4"/>
      <c r="L52" s="4"/>
      <c r="M52" s="4"/>
      <c r="N52" s="4"/>
      <c r="O52" s="4"/>
      <c r="P52" s="4"/>
    </row>
    <row r="53" spans="1:16" x14ac:dyDescent="0.3">
      <c r="A53" s="12" t="str">
        <f>IFERROR(IF(D53="","",C53&amp;"_"&amp;
IF($D53=외피index!$B$3, 외피index!$C$3&amp;"_"&amp;COUNTIFS(D$2:$D53,외피index!$B$3,C$2:$C53,C53),
IF($D53=외피index!$B$4, 외피index!$C$4&amp;"_"&amp;COUNTIFS(D$2:$D53,외피index!$B$4,C$2:$C53,C53),
IF($D53=외피index!$B$5, 외피index!$C$5&amp;"_"&amp;COUNTIFS(D$2:$D53,외피index!$B$5,C$2:$C53,C53),
IF($D53=외피index!$B$6, 외피index!$C$6&amp;"_"&amp;COUNTIFS(D$2:$D53,외피index!$B$6,C$2:$C53,C53),
IF($D53=외피index!$B$7, 외피index!$C$7&amp;"_"&amp;COUNTIFS(D$2:$D53,외피index!$B$7,C$2:$C53,C53),
IF($D53=외피index!$B$8, 외피index!$C$8&amp;"_"&amp;COUNTIFS(D$2:$D53,외피index!$B$8,C$2:$C53,C53),
IF($D53=외피index!$B$9, 외피index!$C$9&amp;"_"&amp;COUNTIFS(D$2:$D53,외피index!$B$9,C$2:$C53,C53),
IF($D53=외피index!$B$10, 외피index!$C$10&amp;"_"&amp;COUNTIFS(D$2:$D53,외피index!$B$10,C$2:$C53,C53), 0))))))))),"")</f>
        <v>2F_Zone010_FR_1</v>
      </c>
      <c r="B53" s="13" t="s">
        <v>16</v>
      </c>
      <c r="C53" s="13" t="s">
        <v>28</v>
      </c>
      <c r="D53" s="13" t="s">
        <v>44</v>
      </c>
      <c r="E53" s="4"/>
      <c r="F53" s="3">
        <v>13.2300212096888</v>
      </c>
      <c r="G53" s="4"/>
      <c r="H53" s="13" t="s">
        <v>20</v>
      </c>
      <c r="I53" s="3">
        <v>180</v>
      </c>
      <c r="J53" s="4"/>
      <c r="K53" s="4"/>
      <c r="L53" s="4"/>
      <c r="M53" s="4"/>
      <c r="N53" s="4"/>
      <c r="O53" s="4"/>
      <c r="P53" s="4"/>
    </row>
    <row r="54" spans="1:16" x14ac:dyDescent="0.3">
      <c r="A54" s="12" t="str">
        <f>IFERROR(IF(D54="","",C54&amp;"_"&amp;
IF($D54=외피index!$B$3, 외피index!$C$3&amp;"_"&amp;COUNTIFS(D$2:$D54,외피index!$B$3,C$2:$C54,C54),
IF($D54=외피index!$B$4, 외피index!$C$4&amp;"_"&amp;COUNTIFS(D$2:$D54,외피index!$B$4,C$2:$C54,C54),
IF($D54=외피index!$B$5, 외피index!$C$5&amp;"_"&amp;COUNTIFS(D$2:$D54,외피index!$B$5,C$2:$C54,C54),
IF($D54=외피index!$B$6, 외피index!$C$6&amp;"_"&amp;COUNTIFS(D$2:$D54,외피index!$B$6,C$2:$C54,C54),
IF($D54=외피index!$B$7, 외피index!$C$7&amp;"_"&amp;COUNTIFS(D$2:$D54,외피index!$B$7,C$2:$C54,C54),
IF($D54=외피index!$B$8, 외피index!$C$8&amp;"_"&amp;COUNTIFS(D$2:$D54,외피index!$B$8,C$2:$C54,C54),
IF($D54=외피index!$B$9, 외피index!$C$9&amp;"_"&amp;COUNTIFS(D$2:$D54,외피index!$B$9,C$2:$C54,C54),
IF($D54=외피index!$B$10, 외피index!$C$10&amp;"_"&amp;COUNTIFS(D$2:$D54,외피index!$B$10,C$2:$C54,C54), 0))))))))),"")</f>
        <v>2F_Zone011_SL_1</v>
      </c>
      <c r="B54" s="13" t="s">
        <v>16</v>
      </c>
      <c r="C54" s="13" t="s">
        <v>23</v>
      </c>
      <c r="D54" s="13" t="s">
        <v>18</v>
      </c>
      <c r="E54" s="4"/>
      <c r="F54" s="3">
        <v>10.920057373121301</v>
      </c>
      <c r="G54" s="4" t="s">
        <v>40</v>
      </c>
      <c r="H54" s="13" t="s">
        <v>20</v>
      </c>
      <c r="I54" s="3">
        <v>180</v>
      </c>
      <c r="J54" s="4"/>
      <c r="K54" s="4"/>
      <c r="L54" s="4"/>
      <c r="M54" s="4"/>
      <c r="N54" s="4"/>
      <c r="O54" s="4"/>
      <c r="P54" s="4"/>
    </row>
    <row r="55" spans="1:16" x14ac:dyDescent="0.3">
      <c r="A55" s="12" t="str">
        <f>IFERROR(IF(D55="","",C55&amp;"_"&amp;
IF($D55=외피index!$B$3, 외피index!$C$3&amp;"_"&amp;COUNTIFS(D$2:$D55,외피index!$B$3,C$2:$C55,C55),
IF($D55=외피index!$B$4, 외피index!$C$4&amp;"_"&amp;COUNTIFS(D$2:$D55,외피index!$B$4,C$2:$C55,C55),
IF($D55=외피index!$B$5, 외피index!$C$5&amp;"_"&amp;COUNTIFS(D$2:$D55,외피index!$B$5,C$2:$C55,C55),
IF($D55=외피index!$B$6, 외피index!$C$6&amp;"_"&amp;COUNTIFS(D$2:$D55,외피index!$B$6,C$2:$C55,C55),
IF($D55=외피index!$B$7, 외피index!$C$7&amp;"_"&amp;COUNTIFS(D$2:$D55,외피index!$B$7,C$2:$C55,C55),
IF($D55=외피index!$B$8, 외피index!$C$8&amp;"_"&amp;COUNTIFS(D$2:$D55,외피index!$B$8,C$2:$C55,C55),
IF($D55=외피index!$B$9, 외피index!$C$9&amp;"_"&amp;COUNTIFS(D$2:$D55,외피index!$B$9,C$2:$C55,C55),
IF($D55=외피index!$B$10, 외피index!$C$10&amp;"_"&amp;COUNTIFS(D$2:$D55,외피index!$B$10,C$2:$C55,C55), 0))))))))),"")</f>
        <v>2F_Zone012_FR_1</v>
      </c>
      <c r="B55" s="13" t="s">
        <v>16</v>
      </c>
      <c r="C55" s="13" t="s">
        <v>30</v>
      </c>
      <c r="D55" s="13" t="s">
        <v>44</v>
      </c>
      <c r="E55" s="4"/>
      <c r="F55" s="3">
        <v>10.585059967124799</v>
      </c>
      <c r="G55" s="4"/>
      <c r="H55" s="13" t="s">
        <v>20</v>
      </c>
      <c r="I55" s="3">
        <v>180</v>
      </c>
      <c r="J55" s="4"/>
      <c r="K55" s="4"/>
      <c r="L55" s="4"/>
      <c r="M55" s="4"/>
      <c r="N55" s="4"/>
      <c r="O55" s="4"/>
      <c r="P55" s="4"/>
    </row>
    <row r="56" spans="1:16" x14ac:dyDescent="0.3">
      <c r="A56" s="12" t="str">
        <f>IFERROR(IF(D56="","",C56&amp;"_"&amp;
IF($D56=외피index!$B$3, 외피index!$C$3&amp;"_"&amp;COUNTIFS(D$2:$D56,외피index!$B$3,C$2:$C56,C56),
IF($D56=외피index!$B$4, 외피index!$C$4&amp;"_"&amp;COUNTIFS(D$2:$D56,외피index!$B$4,C$2:$C56,C56),
IF($D56=외피index!$B$5, 외피index!$C$5&amp;"_"&amp;COUNTIFS(D$2:$D56,외피index!$B$5,C$2:$C56,C56),
IF($D56=외피index!$B$6, 외피index!$C$6&amp;"_"&amp;COUNTIFS(D$2:$D56,외피index!$B$6,C$2:$C56,C56),
IF($D56=외피index!$B$7, 외피index!$C$7&amp;"_"&amp;COUNTIFS(D$2:$D56,외피index!$B$7,C$2:$C56,C56),
IF($D56=외피index!$B$8, 외피index!$C$8&amp;"_"&amp;COUNTIFS(D$2:$D56,외피index!$B$8,C$2:$C56,C56),
IF($D56=외피index!$B$9, 외피index!$C$9&amp;"_"&amp;COUNTIFS(D$2:$D56,외피index!$B$9,C$2:$C56,C56),
IF($D56=외피index!$B$10, 외피index!$C$10&amp;"_"&amp;COUNTIFS(D$2:$D56,외피index!$B$10,C$2:$C56,C56), 0))))))))),"")</f>
        <v>2F_Zone011_SL_2</v>
      </c>
      <c r="B56" s="13" t="s">
        <v>16</v>
      </c>
      <c r="C56" s="13" t="s">
        <v>23</v>
      </c>
      <c r="D56" s="13" t="s">
        <v>18</v>
      </c>
      <c r="E56" s="4"/>
      <c r="F56" s="3">
        <v>7.2799853514879898</v>
      </c>
      <c r="G56" s="4" t="s">
        <v>39</v>
      </c>
      <c r="H56" s="13" t="s">
        <v>20</v>
      </c>
      <c r="I56" s="3">
        <v>180</v>
      </c>
      <c r="J56" s="4"/>
      <c r="K56" s="4"/>
      <c r="L56" s="4"/>
      <c r="M56" s="4"/>
      <c r="N56" s="4"/>
      <c r="O56" s="4"/>
      <c r="P56" s="4"/>
    </row>
    <row r="57" spans="1:16" x14ac:dyDescent="0.3">
      <c r="A57" s="12" t="str">
        <f>IFERROR(IF(D57="","",C57&amp;"_"&amp;
IF($D57=외피index!$B$3, 외피index!$C$3&amp;"_"&amp;COUNTIFS(D$2:$D57,외피index!$B$3,C$2:$C57,C57),
IF($D57=외피index!$B$4, 외피index!$C$4&amp;"_"&amp;COUNTIFS(D$2:$D57,외피index!$B$4,C$2:$C57,C57),
IF($D57=외피index!$B$5, 외피index!$C$5&amp;"_"&amp;COUNTIFS(D$2:$D57,외피index!$B$5,C$2:$C57,C57),
IF($D57=외피index!$B$6, 외피index!$C$6&amp;"_"&amp;COUNTIFS(D$2:$D57,외피index!$B$6,C$2:$C57,C57),
IF($D57=외피index!$B$7, 외피index!$C$7&amp;"_"&amp;COUNTIFS(D$2:$D57,외피index!$B$7,C$2:$C57,C57),
IF($D57=외피index!$B$8, 외피index!$C$8&amp;"_"&amp;COUNTIFS(D$2:$D57,외피index!$B$8,C$2:$C57,C57),
IF($D57=외피index!$B$9, 외피index!$C$9&amp;"_"&amp;COUNTIFS(D$2:$D57,외피index!$B$9,C$2:$C57,C57),
IF($D57=외피index!$B$10, 외피index!$C$10&amp;"_"&amp;COUNTIFS(D$2:$D57,외피index!$B$10,C$2:$C57,C57), 0))))))))),"")</f>
        <v>2F_Zone008_FR_1</v>
      </c>
      <c r="B57" s="13" t="s">
        <v>16</v>
      </c>
      <c r="C57" s="13" t="s">
        <v>25</v>
      </c>
      <c r="D57" s="13" t="s">
        <v>44</v>
      </c>
      <c r="E57" s="4"/>
      <c r="F57" s="3">
        <v>6.8849615477956796</v>
      </c>
      <c r="G57" s="4"/>
      <c r="H57" s="13" t="s">
        <v>20</v>
      </c>
      <c r="I57" s="3">
        <v>180</v>
      </c>
      <c r="J57" s="4"/>
      <c r="K57" s="4"/>
      <c r="L57" s="4"/>
      <c r="M57" s="4"/>
      <c r="N57" s="4"/>
      <c r="O57" s="4"/>
      <c r="P57" s="4"/>
    </row>
    <row r="58" spans="1:16" x14ac:dyDescent="0.3">
      <c r="A58" s="12" t="str">
        <f>IFERROR(IF(D58="","",C58&amp;"_"&amp;
IF($D58=외피index!$B$3, 외피index!$C$3&amp;"_"&amp;COUNTIFS(D$2:$D58,외피index!$B$3,C$2:$C58,C58),
IF($D58=외피index!$B$4, 외피index!$C$4&amp;"_"&amp;COUNTIFS(D$2:$D58,외피index!$B$4,C$2:$C58,C58),
IF($D58=외피index!$B$5, 외피index!$C$5&amp;"_"&amp;COUNTIFS(D$2:$D58,외피index!$B$5,C$2:$C58,C58),
IF($D58=외피index!$B$6, 외피index!$C$6&amp;"_"&amp;COUNTIFS(D$2:$D58,외피index!$B$6,C$2:$C58,C58),
IF($D58=외피index!$B$7, 외피index!$C$7&amp;"_"&amp;COUNTIFS(D$2:$D58,외피index!$B$7,C$2:$C58,C58),
IF($D58=외피index!$B$8, 외피index!$C$8&amp;"_"&amp;COUNTIFS(D$2:$D58,외피index!$B$8,C$2:$C58,C58),
IF($D58=외피index!$B$9, 외피index!$C$9&amp;"_"&amp;COUNTIFS(D$2:$D58,외피index!$B$9,C$2:$C58,C58),
IF($D58=외피index!$B$10, 외피index!$C$10&amp;"_"&amp;COUNTIFS(D$2:$D58,외피index!$B$10,C$2:$C58,C58), 0))))))))),"")</f>
        <v>2F_Zone013_FR_1</v>
      </c>
      <c r="B58" s="13" t="s">
        <v>16</v>
      </c>
      <c r="C58" s="13" t="s">
        <v>32</v>
      </c>
      <c r="D58" s="13" t="s">
        <v>44</v>
      </c>
      <c r="E58" s="4"/>
      <c r="F58" s="3">
        <v>4.79998779296875</v>
      </c>
      <c r="G58" s="4"/>
      <c r="H58" s="13" t="s">
        <v>20</v>
      </c>
      <c r="I58" s="3">
        <v>180</v>
      </c>
      <c r="J58" s="4"/>
      <c r="K58" s="4"/>
      <c r="L58" s="4"/>
      <c r="M58" s="4"/>
      <c r="N58" s="4"/>
      <c r="O58" s="4"/>
      <c r="P58" s="4"/>
    </row>
    <row r="59" spans="1:16" x14ac:dyDescent="0.3">
      <c r="A59" s="12" t="str">
        <f>IFERROR(IF(D59="","",C59&amp;"_"&amp;
IF($D59=외피index!$B$3, 외피index!$C$3&amp;"_"&amp;COUNTIFS(D$2:$D59,외피index!$B$3,C$2:$C59,C59),
IF($D59=외피index!$B$4, 외피index!$C$4&amp;"_"&amp;COUNTIFS(D$2:$D59,외피index!$B$4,C$2:$C59,C59),
IF($D59=외피index!$B$5, 외피index!$C$5&amp;"_"&amp;COUNTIFS(D$2:$D59,외피index!$B$5,C$2:$C59,C59),
IF($D59=외피index!$B$6, 외피index!$C$6&amp;"_"&amp;COUNTIFS(D$2:$D59,외피index!$B$6,C$2:$C59,C59),
IF($D59=외피index!$B$7, 외피index!$C$7&amp;"_"&amp;COUNTIFS(D$2:$D59,외피index!$B$7,C$2:$C59,C59),
IF($D59=외피index!$B$8, 외피index!$C$8&amp;"_"&amp;COUNTIFS(D$2:$D59,외피index!$B$8,C$2:$C59,C59),
IF($D59=외피index!$B$9, 외피index!$C$9&amp;"_"&amp;COUNTIFS(D$2:$D59,외피index!$B$9,C$2:$C59,C59),
IF($D59=외피index!$B$10, 외피index!$C$10&amp;"_"&amp;COUNTIFS(D$2:$D59,외피index!$B$10,C$2:$C59,C59), 0))))))))),"")</f>
        <v>1F_Zone002_FR_1</v>
      </c>
      <c r="B59" s="13" t="s">
        <v>37</v>
      </c>
      <c r="C59" s="13" t="s">
        <v>38</v>
      </c>
      <c r="D59" s="13" t="s">
        <v>44</v>
      </c>
      <c r="E59" s="4"/>
      <c r="F59" s="3">
        <v>42.639959106454597</v>
      </c>
      <c r="G59" s="4"/>
      <c r="H59" s="13" t="s">
        <v>20</v>
      </c>
      <c r="I59" s="3">
        <v>180</v>
      </c>
      <c r="J59" s="4"/>
      <c r="K59" s="4"/>
      <c r="L59" s="4"/>
      <c r="M59" s="4"/>
      <c r="N59" s="4"/>
      <c r="O59" s="4"/>
      <c r="P59" s="4"/>
    </row>
    <row r="60" spans="1:16" x14ac:dyDescent="0.3">
      <c r="A60" s="12" t="str">
        <f>IFERROR(IF(D60="","",C60&amp;"_"&amp;
IF($D60=외피index!$B$3, 외피index!$C$3&amp;"_"&amp;COUNTIFS(D$2:$D60,외피index!$B$3,C$2:$C60,C60),
IF($D60=외피index!$B$4, 외피index!$C$4&amp;"_"&amp;COUNTIFS(D$2:$D60,외피index!$B$4,C$2:$C60,C60),
IF($D60=외피index!$B$5, 외피index!$C$5&amp;"_"&amp;COUNTIFS(D$2:$D60,외피index!$B$5,C$2:$C60,C60),
IF($D60=외피index!$B$6, 외피index!$C$6&amp;"_"&amp;COUNTIFS(D$2:$D60,외피index!$B$6,C$2:$C60,C60),
IF($D60=외피index!$B$7, 외피index!$C$7&amp;"_"&amp;COUNTIFS(D$2:$D60,외피index!$B$7,C$2:$C60,C60),
IF($D60=외피index!$B$8, 외피index!$C$8&amp;"_"&amp;COUNTIFS(D$2:$D60,외피index!$B$8,C$2:$C60,C60),
IF($D60=외피index!$B$9, 외피index!$C$9&amp;"_"&amp;COUNTIFS(D$2:$D60,외피index!$B$9,C$2:$C60,C60),
IF($D60=외피index!$B$10, 외피index!$C$10&amp;"_"&amp;COUNTIFS(D$2:$D60,외피index!$B$10,C$2:$C60,C60), 0))))))))),"")</f>
        <v>1F_Zone003_FR_1</v>
      </c>
      <c r="B60" s="13" t="s">
        <v>37</v>
      </c>
      <c r="C60" s="13" t="s">
        <v>39</v>
      </c>
      <c r="D60" s="13" t="s">
        <v>44</v>
      </c>
      <c r="E60" s="4"/>
      <c r="F60" s="3">
        <v>24.079942626878601</v>
      </c>
      <c r="G60" s="4"/>
      <c r="H60" s="13" t="s">
        <v>20</v>
      </c>
      <c r="I60" s="3">
        <v>180</v>
      </c>
      <c r="J60" s="4"/>
      <c r="K60" s="4"/>
      <c r="L60" s="4"/>
      <c r="M60" s="4"/>
      <c r="N60" s="4"/>
      <c r="O60" s="4"/>
      <c r="P60" s="4"/>
    </row>
    <row r="61" spans="1:16" x14ac:dyDescent="0.3">
      <c r="A61" s="12" t="str">
        <f>IFERROR(IF(D61="","",C61&amp;"_"&amp;
IF($D61=외피index!$B$3, 외피index!$C$3&amp;"_"&amp;COUNTIFS(D$2:$D61,외피index!$B$3,C$2:$C61,C61),
IF($D61=외피index!$B$4, 외피index!$C$4&amp;"_"&amp;COUNTIFS(D$2:$D61,외피index!$B$4,C$2:$C61,C61),
IF($D61=외피index!$B$5, 외피index!$C$5&amp;"_"&amp;COUNTIFS(D$2:$D61,외피index!$B$5,C$2:$C61,C61),
IF($D61=외피index!$B$6, 외피index!$C$6&amp;"_"&amp;COUNTIFS(D$2:$D61,외피index!$B$6,C$2:$C61,C61),
IF($D61=외피index!$B$7, 외피index!$C$7&amp;"_"&amp;COUNTIFS(D$2:$D61,외피index!$B$7,C$2:$C61,C61),
IF($D61=외피index!$B$8, 외피index!$C$8&amp;"_"&amp;COUNTIFS(D$2:$D61,외피index!$B$8,C$2:$C61,C61),
IF($D61=외피index!$B$9, 외피index!$C$9&amp;"_"&amp;COUNTIFS(D$2:$D61,외피index!$B$9,C$2:$C61,C61),
IF($D61=외피index!$B$10, 외피index!$C$10&amp;"_"&amp;COUNTIFS(D$2:$D61,외피index!$B$10,C$2:$C61,C61), 0))))))))),"")</f>
        <v>1F_Zone004_FR_1</v>
      </c>
      <c r="B61" s="13" t="s">
        <v>37</v>
      </c>
      <c r="C61" s="13" t="s">
        <v>40</v>
      </c>
      <c r="D61" s="13" t="s">
        <v>44</v>
      </c>
      <c r="E61" s="4"/>
      <c r="F61" s="3">
        <v>10.920057373121301</v>
      </c>
      <c r="G61" s="4"/>
      <c r="H61" s="13" t="s">
        <v>20</v>
      </c>
      <c r="I61" s="3">
        <v>180</v>
      </c>
      <c r="J61" s="4"/>
      <c r="K61" s="4"/>
      <c r="L61" s="4"/>
      <c r="M61" s="4"/>
      <c r="N61" s="4"/>
      <c r="O61" s="4"/>
      <c r="P61" s="4"/>
    </row>
    <row r="62" spans="1:16" x14ac:dyDescent="0.3">
      <c r="A62" s="12" t="str">
        <f>IFERROR(IF(D62="","",C62&amp;"_"&amp;
IF($D62=외피index!$B$3, 외피index!$C$3&amp;"_"&amp;COUNTIFS(D$2:$D62,외피index!$B$3,C$2:$C62,C62),
IF($D62=외피index!$B$4, 외피index!$C$4&amp;"_"&amp;COUNTIFS(D$2:$D62,외피index!$B$4,C$2:$C62,C62),
IF($D62=외피index!$B$5, 외피index!$C$5&amp;"_"&amp;COUNTIFS(D$2:$D62,외피index!$B$5,C$2:$C62,C62),
IF($D62=외피index!$B$6, 외피index!$C$6&amp;"_"&amp;COUNTIFS(D$2:$D62,외피index!$B$6,C$2:$C62,C62),
IF($D62=외피index!$B$7, 외피index!$C$7&amp;"_"&amp;COUNTIFS(D$2:$D62,외피index!$B$7,C$2:$C62,C62),
IF($D62=외피index!$B$8, 외피index!$C$8&amp;"_"&amp;COUNTIFS(D$2:$D62,외피index!$B$8,C$2:$C62,C62),
IF($D62=외피index!$B$9, 외피index!$C$9&amp;"_"&amp;COUNTIFS(D$2:$D62,외피index!$B$9,C$2:$C62,C62),
IF($D62=외피index!$B$10, 외피index!$C$10&amp;"_"&amp;COUNTIFS(D$2:$D62,외피index!$B$10,C$2:$C62,C62), 0))))))))),"")</f>
        <v>1F_Zone005_FR_1</v>
      </c>
      <c r="B62" s="13" t="s">
        <v>37</v>
      </c>
      <c r="C62" s="13" t="s">
        <v>42</v>
      </c>
      <c r="D62" s="13" t="s">
        <v>44</v>
      </c>
      <c r="E62" s="4"/>
      <c r="F62" s="3">
        <v>3.7170383147895301</v>
      </c>
      <c r="G62" s="4"/>
      <c r="H62" s="13" t="s">
        <v>20</v>
      </c>
      <c r="I62" s="3">
        <v>180</v>
      </c>
      <c r="J62" s="4"/>
      <c r="K62" s="4"/>
      <c r="L62" s="4"/>
      <c r="M62" s="4"/>
      <c r="N62" s="4"/>
      <c r="O62" s="4"/>
      <c r="P62" s="4"/>
    </row>
    <row r="63" spans="1:16" x14ac:dyDescent="0.3">
      <c r="A63" s="12" t="str">
        <f>IFERROR(IF(D63="","",C63&amp;"_"&amp;
IF($D63=외피index!$B$3, 외피index!$C$3&amp;"_"&amp;COUNTIFS(D$2:$D63,외피index!$B$3,C$2:$C63,C63),
IF($D63=외피index!$B$4, 외피index!$C$4&amp;"_"&amp;COUNTIFS(D$2:$D63,외피index!$B$4,C$2:$C63,C63),
IF($D63=외피index!$B$5, 외피index!$C$5&amp;"_"&amp;COUNTIFS(D$2:$D63,외피index!$B$5,C$2:$C63,C63),
IF($D63=외피index!$B$6, 외피index!$C$6&amp;"_"&amp;COUNTIFS(D$2:$D63,외피index!$B$6,C$2:$C63,C63),
IF($D63=외피index!$B$7, 외피index!$C$7&amp;"_"&amp;COUNTIFS(D$2:$D63,외피index!$B$7,C$2:$C63,C63),
IF($D63=외피index!$B$8, 외피index!$C$8&amp;"_"&amp;COUNTIFS(D$2:$D63,외피index!$B$8,C$2:$C63,C63),
IF($D63=외피index!$B$9, 외피index!$C$9&amp;"_"&amp;COUNTIFS(D$2:$D63,외피index!$B$9,C$2:$C63,C63),
IF($D63=외피index!$B$10, 외피index!$C$10&amp;"_"&amp;COUNTIFS(D$2:$D63,외피index!$B$10,C$2:$C63,C63), 0))))))))),"")</f>
        <v>3F_Zone019_IW_1</v>
      </c>
      <c r="B63" s="13" t="s">
        <v>35</v>
      </c>
      <c r="C63" s="13" t="s">
        <v>31</v>
      </c>
      <c r="D63" s="13" t="s">
        <v>45</v>
      </c>
      <c r="E63" s="4"/>
      <c r="F63" s="3">
        <v>7.6799811553937598</v>
      </c>
      <c r="G63" s="4" t="s">
        <v>33</v>
      </c>
      <c r="H63" s="13" t="s">
        <v>46</v>
      </c>
      <c r="I63" s="3">
        <v>90</v>
      </c>
      <c r="J63" s="4"/>
      <c r="K63" s="4"/>
      <c r="L63" s="4"/>
      <c r="M63" s="4"/>
      <c r="N63" s="4">
        <v>2.3999938964843701</v>
      </c>
      <c r="O63" s="4"/>
      <c r="P63" s="4"/>
    </row>
    <row r="64" spans="1:16" x14ac:dyDescent="0.3">
      <c r="A64" s="12" t="str">
        <f>IFERROR(IF(D64="","",C64&amp;"_"&amp;
IF($D64=외피index!$B$3, 외피index!$C$3&amp;"_"&amp;COUNTIFS(D$2:$D64,외피index!$B$3,C$2:$C64,C64),
IF($D64=외피index!$B$4, 외피index!$C$4&amp;"_"&amp;COUNTIFS(D$2:$D64,외피index!$B$4,C$2:$C64,C64),
IF($D64=외피index!$B$5, 외피index!$C$5&amp;"_"&amp;COUNTIFS(D$2:$D64,외피index!$B$5,C$2:$C64,C64),
IF($D64=외피index!$B$6, 외피index!$C$6&amp;"_"&amp;COUNTIFS(D$2:$D64,외피index!$B$6,C$2:$C64,C64),
IF($D64=외피index!$B$7, 외피index!$C$7&amp;"_"&amp;COUNTIFS(D$2:$D64,외피index!$B$7,C$2:$C64,C64),
IF($D64=외피index!$B$8, 외피index!$C$8&amp;"_"&amp;COUNTIFS(D$2:$D64,외피index!$B$8,C$2:$C64,C64),
IF($D64=외피index!$B$9, 외피index!$C$9&amp;"_"&amp;COUNTIFS(D$2:$D64,외피index!$B$9,C$2:$C64,C64),
IF($D64=외피index!$B$10, 외피index!$C$10&amp;"_"&amp;COUNTIFS(D$2:$D64,외피index!$B$10,C$2:$C64,C64), 0))))))))),"")</f>
        <v>1F_Zone002_WL_1</v>
      </c>
      <c r="B64" s="13" t="s">
        <v>37</v>
      </c>
      <c r="C64" s="13" t="s">
        <v>38</v>
      </c>
      <c r="D64" s="13" t="s">
        <v>47</v>
      </c>
      <c r="E64" s="4"/>
      <c r="F64" s="3">
        <v>19.514582987212599</v>
      </c>
      <c r="G64" s="4"/>
      <c r="H64" s="13" t="s">
        <v>46</v>
      </c>
      <c r="I64" s="3">
        <v>90</v>
      </c>
      <c r="J64" s="4"/>
      <c r="K64" s="4"/>
      <c r="L64" s="4"/>
      <c r="M64" s="4"/>
      <c r="N64" s="4">
        <v>5.1999969482421804</v>
      </c>
      <c r="O64" s="4"/>
      <c r="P64" s="4"/>
    </row>
    <row r="65" spans="1:16" x14ac:dyDescent="0.3">
      <c r="A65" s="12" t="str">
        <f>IFERROR(IF(D65="","",C65&amp;"_"&amp;
IF($D65=외피index!$B$3, 외피index!$C$3&amp;"_"&amp;COUNTIFS(D$2:$D65,외피index!$B$3,C$2:$C65,C65),
IF($D65=외피index!$B$4, 외피index!$C$4&amp;"_"&amp;COUNTIFS(D$2:$D65,외피index!$B$4,C$2:$C65,C65),
IF($D65=외피index!$B$5, 외피index!$C$5&amp;"_"&amp;COUNTIFS(D$2:$D65,외피index!$B$5,C$2:$C65,C65),
IF($D65=외피index!$B$6, 외피index!$C$6&amp;"_"&amp;COUNTIFS(D$2:$D65,외피index!$B$6,C$2:$C65,C65),
IF($D65=외피index!$B$7, 외피index!$C$7&amp;"_"&amp;COUNTIFS(D$2:$D65,외피index!$B$7,C$2:$C65,C65),
IF($D65=외피index!$B$8, 외피index!$C$8&amp;"_"&amp;COUNTIFS(D$2:$D65,외피index!$B$8,C$2:$C65,C65),
IF($D65=외피index!$B$9, 외피index!$C$9&amp;"_"&amp;COUNTIFS(D$2:$D65,외피index!$B$9,C$2:$C65,C65),
IF($D65=외피index!$B$10, 외피index!$C$10&amp;"_"&amp;COUNTIFS(D$2:$D65,외피index!$B$10,C$2:$C65,C65), 0))))))))),"")</f>
        <v>1F_Zone003_WL_1</v>
      </c>
      <c r="B65" s="13" t="s">
        <v>37</v>
      </c>
      <c r="C65" s="13" t="s">
        <v>39</v>
      </c>
      <c r="D65" s="13" t="s">
        <v>47</v>
      </c>
      <c r="E65" s="4"/>
      <c r="F65" s="3">
        <v>16.6998966980936</v>
      </c>
      <c r="G65" s="4"/>
      <c r="H65" s="13" t="s">
        <v>46</v>
      </c>
      <c r="I65" s="3">
        <v>90</v>
      </c>
      <c r="J65" s="4"/>
      <c r="K65" s="4"/>
      <c r="L65" s="4"/>
      <c r="M65" s="4"/>
      <c r="N65" s="4">
        <v>5</v>
      </c>
      <c r="O65" s="4"/>
      <c r="P65" s="4"/>
    </row>
    <row r="66" spans="1:16" x14ac:dyDescent="0.3">
      <c r="A66" s="12" t="str">
        <f>IFERROR(IF(D66="","",C66&amp;"_"&amp;
IF($D66=외피index!$B$3, 외피index!$C$3&amp;"_"&amp;COUNTIFS(D$2:$D66,외피index!$B$3,C$2:$C66,C66),
IF($D66=외피index!$B$4, 외피index!$C$4&amp;"_"&amp;COUNTIFS(D$2:$D66,외피index!$B$4,C$2:$C66,C66),
IF($D66=외피index!$B$5, 외피index!$C$5&amp;"_"&amp;COUNTIFS(D$2:$D66,외피index!$B$5,C$2:$C66,C66),
IF($D66=외피index!$B$6, 외피index!$C$6&amp;"_"&amp;COUNTIFS(D$2:$D66,외피index!$B$6,C$2:$C66,C66),
IF($D66=외피index!$B$7, 외피index!$C$7&amp;"_"&amp;COUNTIFS(D$2:$D66,외피index!$B$7,C$2:$C66,C66),
IF($D66=외피index!$B$8, 외피index!$C$8&amp;"_"&amp;COUNTIFS(D$2:$D66,외피index!$B$8,C$2:$C66,C66),
IF($D66=외피index!$B$9, 외피index!$C$9&amp;"_"&amp;COUNTIFS(D$2:$D66,외피index!$B$9,C$2:$C66,C66),
IF($D66=외피index!$B$10, 외피index!$C$10&amp;"_"&amp;COUNTIFS(D$2:$D66,외피index!$B$10,C$2:$C66,C66), 0))))))))),"")</f>
        <v>2F_Zone006_IW_1</v>
      </c>
      <c r="B66" s="13" t="s">
        <v>16</v>
      </c>
      <c r="C66" s="13" t="s">
        <v>17</v>
      </c>
      <c r="D66" s="13" t="s">
        <v>45</v>
      </c>
      <c r="E66" s="4"/>
      <c r="F66" s="3">
        <v>16.639989242554201</v>
      </c>
      <c r="G66" s="4" t="s">
        <v>27</v>
      </c>
      <c r="H66" s="13" t="s">
        <v>46</v>
      </c>
      <c r="I66" s="3">
        <v>90</v>
      </c>
      <c r="J66" s="4"/>
      <c r="K66" s="4"/>
      <c r="L66" s="4"/>
      <c r="M66" s="4"/>
      <c r="N66" s="4">
        <v>5.1999969482421804</v>
      </c>
      <c r="O66" s="4"/>
      <c r="P66" s="4"/>
    </row>
    <row r="67" spans="1:16" x14ac:dyDescent="0.3">
      <c r="A67" s="12" t="str">
        <f>IFERROR(IF(D67="","",C67&amp;"_"&amp;
IF($D67=외피index!$B$3, 외피index!$C$3&amp;"_"&amp;COUNTIFS(D$2:$D67,외피index!$B$3,C$2:$C67,C67),
IF($D67=외피index!$B$4, 외피index!$C$4&amp;"_"&amp;COUNTIFS(D$2:$D67,외피index!$B$4,C$2:$C67,C67),
IF($D67=외피index!$B$5, 외피index!$C$5&amp;"_"&amp;COUNTIFS(D$2:$D67,외피index!$B$5,C$2:$C67,C67),
IF($D67=외피index!$B$6, 외피index!$C$6&amp;"_"&amp;COUNTIFS(D$2:$D67,외피index!$B$6,C$2:$C67,C67),
IF($D67=외피index!$B$7, 외피index!$C$7&amp;"_"&amp;COUNTIFS(D$2:$D67,외피index!$B$7,C$2:$C67,C67),
IF($D67=외피index!$B$8, 외피index!$C$8&amp;"_"&amp;COUNTIFS(D$2:$D67,외피index!$B$8,C$2:$C67,C67),
IF($D67=외피index!$B$9, 외피index!$C$9&amp;"_"&amp;COUNTIFS(D$2:$D67,외피index!$B$9,C$2:$C67,C67),
IF($D67=외피index!$B$10, 외피index!$C$10&amp;"_"&amp;COUNTIFS(D$2:$D67,외피index!$B$10,C$2:$C67,C67), 0))))))))),"")</f>
        <v>3F_Zone017_IW_1</v>
      </c>
      <c r="B67" s="13" t="s">
        <v>35</v>
      </c>
      <c r="C67" s="13" t="s">
        <v>29</v>
      </c>
      <c r="D67" s="13" t="s">
        <v>45</v>
      </c>
      <c r="E67" s="4"/>
      <c r="F67" s="3">
        <v>9.9199715900394896</v>
      </c>
      <c r="G67" s="4" t="s">
        <v>22</v>
      </c>
      <c r="H67" s="13" t="s">
        <v>46</v>
      </c>
      <c r="I67" s="3">
        <v>90</v>
      </c>
      <c r="J67" s="4"/>
      <c r="K67" s="4"/>
      <c r="L67" s="4"/>
      <c r="M67" s="4"/>
      <c r="N67" s="4">
        <v>3.0999908447265598</v>
      </c>
      <c r="O67" s="4"/>
      <c r="P67" s="4"/>
    </row>
    <row r="68" spans="1:16" x14ac:dyDescent="0.3">
      <c r="A68" s="12" t="str">
        <f>IFERROR(IF(D68="","",C68&amp;"_"&amp;
IF($D68=외피index!$B$3, 외피index!$C$3&amp;"_"&amp;COUNTIFS(D$2:$D68,외피index!$B$3,C$2:$C68,C68),
IF($D68=외피index!$B$4, 외피index!$C$4&amp;"_"&amp;COUNTIFS(D$2:$D68,외피index!$B$4,C$2:$C68,C68),
IF($D68=외피index!$B$5, 외피index!$C$5&amp;"_"&amp;COUNTIFS(D$2:$D68,외피index!$B$5,C$2:$C68,C68),
IF($D68=외피index!$B$6, 외피index!$C$6&amp;"_"&amp;COUNTIFS(D$2:$D68,외피index!$B$6,C$2:$C68,C68),
IF($D68=외피index!$B$7, 외피index!$C$7&amp;"_"&amp;COUNTIFS(D$2:$D68,외피index!$B$7,C$2:$C68,C68),
IF($D68=외피index!$B$8, 외피index!$C$8&amp;"_"&amp;COUNTIFS(D$2:$D68,외피index!$B$8,C$2:$C68,C68),
IF($D68=외피index!$B$9, 외피index!$C$9&amp;"_"&amp;COUNTIFS(D$2:$D68,외피index!$B$9,C$2:$C68,C68),
IF($D68=외피index!$B$10, 외피index!$C$10&amp;"_"&amp;COUNTIFS(D$2:$D68,외피index!$B$10,C$2:$C68,C68), 0))))))))),"")</f>
        <v>2F_Zone011_IW_1</v>
      </c>
      <c r="B68" s="13" t="s">
        <v>16</v>
      </c>
      <c r="C68" s="13" t="s">
        <v>23</v>
      </c>
      <c r="D68" s="13" t="s">
        <v>45</v>
      </c>
      <c r="E68" s="4"/>
      <c r="F68" s="3">
        <v>8.3200190353381895</v>
      </c>
      <c r="G68" s="4" t="s">
        <v>30</v>
      </c>
      <c r="H68" s="13" t="s">
        <v>46</v>
      </c>
      <c r="I68" s="3">
        <v>90</v>
      </c>
      <c r="J68" s="4"/>
      <c r="K68" s="4"/>
      <c r="L68" s="4"/>
      <c r="M68" s="4"/>
      <c r="N68" s="4">
        <v>2.6000061035156201</v>
      </c>
      <c r="O68" s="4"/>
      <c r="P68" s="4"/>
    </row>
    <row r="69" spans="1:16" x14ac:dyDescent="0.3">
      <c r="A69" s="12" t="str">
        <f>IFERROR(IF(D69="","",C69&amp;"_"&amp;
IF($D69=외피index!$B$3, 외피index!$C$3&amp;"_"&amp;COUNTIFS(D$2:$D69,외피index!$B$3,C$2:$C69,C69),
IF($D69=외피index!$B$4, 외피index!$C$4&amp;"_"&amp;COUNTIFS(D$2:$D69,외피index!$B$4,C$2:$C69,C69),
IF($D69=외피index!$B$5, 외피index!$C$5&amp;"_"&amp;COUNTIFS(D$2:$D69,외피index!$B$5,C$2:$C69,C69),
IF($D69=외피index!$B$6, 외피index!$C$6&amp;"_"&amp;COUNTIFS(D$2:$D69,외피index!$B$6,C$2:$C69,C69),
IF($D69=외피index!$B$7, 외피index!$C$7&amp;"_"&amp;COUNTIFS(D$2:$D69,외피index!$B$7,C$2:$C69,C69),
IF($D69=외피index!$B$8, 외피index!$C$8&amp;"_"&amp;COUNTIFS(D$2:$D69,외피index!$B$8,C$2:$C69,C69),
IF($D69=외피index!$B$9, 외피index!$C$9&amp;"_"&amp;COUNTIFS(D$2:$D69,외피index!$B$9,C$2:$C69,C69),
IF($D69=외피index!$B$10, 외피index!$C$10&amp;"_"&amp;COUNTIFS(D$2:$D69,외피index!$B$10,C$2:$C69,C69), 0))))))))),"")</f>
        <v>3F_Zone016_IW_1</v>
      </c>
      <c r="B69" s="13" t="s">
        <v>35</v>
      </c>
      <c r="C69" s="13" t="s">
        <v>26</v>
      </c>
      <c r="D69" s="13" t="s">
        <v>45</v>
      </c>
      <c r="E69" s="4"/>
      <c r="F69" s="3">
        <v>6.7200201320665602</v>
      </c>
      <c r="G69" s="4" t="s">
        <v>22</v>
      </c>
      <c r="H69" s="13" t="s">
        <v>46</v>
      </c>
      <c r="I69" s="3">
        <v>90</v>
      </c>
      <c r="J69" s="4"/>
      <c r="K69" s="4"/>
      <c r="L69" s="4"/>
      <c r="M69" s="4"/>
      <c r="N69" s="4">
        <v>2.1000061035156201</v>
      </c>
      <c r="O69" s="4"/>
      <c r="P69" s="4"/>
    </row>
    <row r="70" spans="1:16" x14ac:dyDescent="0.3">
      <c r="A70" s="12" t="str">
        <f>IFERROR(IF(D70="","",C70&amp;"_"&amp;
IF($D70=외피index!$B$3, 외피index!$C$3&amp;"_"&amp;COUNTIFS(D$2:$D70,외피index!$B$3,C$2:$C70,C70),
IF($D70=외피index!$B$4, 외피index!$C$4&amp;"_"&amp;COUNTIFS(D$2:$D70,외피index!$B$4,C$2:$C70,C70),
IF($D70=외피index!$B$5, 외피index!$C$5&amp;"_"&amp;COUNTIFS(D$2:$D70,외피index!$B$5,C$2:$C70,C70),
IF($D70=외피index!$B$6, 외피index!$C$6&amp;"_"&amp;COUNTIFS(D$2:$D70,외피index!$B$6,C$2:$C70,C70),
IF($D70=외피index!$B$7, 외피index!$C$7&amp;"_"&amp;COUNTIFS(D$2:$D70,외피index!$B$7,C$2:$C70,C70),
IF($D70=외피index!$B$8, 외피index!$C$8&amp;"_"&amp;COUNTIFS(D$2:$D70,외피index!$B$8,C$2:$C70,C70),
IF($D70=외피index!$B$9, 외피index!$C$9&amp;"_"&amp;COUNTIFS(D$2:$D70,외피index!$B$9,C$2:$C70,C70),
IF($D70=외피index!$B$10, 외피index!$C$10&amp;"_"&amp;COUNTIFS(D$2:$D70,외피index!$B$10,C$2:$C70,C70), 0))))))))),"")</f>
        <v>4F_Zone021_WL_1</v>
      </c>
      <c r="B70" s="13" t="s">
        <v>41</v>
      </c>
      <c r="C70" s="13" t="s">
        <v>36</v>
      </c>
      <c r="D70" s="13" t="s">
        <v>47</v>
      </c>
      <c r="E70" s="4"/>
      <c r="F70" s="3">
        <v>6.7199833679187497</v>
      </c>
      <c r="G70" s="4"/>
      <c r="H70" s="13" t="s">
        <v>46</v>
      </c>
      <c r="I70" s="3">
        <v>90</v>
      </c>
      <c r="J70" s="4"/>
      <c r="K70" s="4"/>
      <c r="L70" s="4"/>
      <c r="M70" s="4"/>
      <c r="N70" s="4">
        <v>2.3999938964843701</v>
      </c>
      <c r="O70" s="4"/>
      <c r="P70" s="4"/>
    </row>
    <row r="71" spans="1:16" x14ac:dyDescent="0.3">
      <c r="A71" s="12" t="str">
        <f>IFERROR(IF(D71="","",C71&amp;"_"&amp;
IF($D71=외피index!$B$3, 외피index!$C$3&amp;"_"&amp;COUNTIFS(D$2:$D71,외피index!$B$3,C$2:$C71,C71),
IF($D71=외피index!$B$4, 외피index!$C$4&amp;"_"&amp;COUNTIFS(D$2:$D71,외피index!$B$4,C$2:$C71,C71),
IF($D71=외피index!$B$5, 외피index!$C$5&amp;"_"&amp;COUNTIFS(D$2:$D71,외피index!$B$5,C$2:$C71,C71),
IF($D71=외피index!$B$6, 외피index!$C$6&amp;"_"&amp;COUNTIFS(D$2:$D71,외피index!$B$6,C$2:$C71,C71),
IF($D71=외피index!$B$7, 외피index!$C$7&amp;"_"&amp;COUNTIFS(D$2:$D71,외피index!$B$7,C$2:$C71,C71),
IF($D71=외피index!$B$8, 외피index!$C$8&amp;"_"&amp;COUNTIFS(D$2:$D71,외피index!$B$8,C$2:$C71,C71),
IF($D71=외피index!$B$9, 외피index!$C$9&amp;"_"&amp;COUNTIFS(D$2:$D71,외피index!$B$9,C$2:$C71,C71),
IF($D71=외피index!$B$10, 외피index!$C$10&amp;"_"&amp;COUNTIFS(D$2:$D71,외피index!$B$10,C$2:$C71,C71), 0))))))))),"")</f>
        <v>3F_Zone016_IW_2</v>
      </c>
      <c r="B71" s="13" t="s">
        <v>35</v>
      </c>
      <c r="C71" s="13" t="s">
        <v>26</v>
      </c>
      <c r="D71" s="13" t="s">
        <v>45</v>
      </c>
      <c r="E71" s="4"/>
      <c r="F71" s="3">
        <v>3.3600100660332801</v>
      </c>
      <c r="G71" s="4" t="s">
        <v>31</v>
      </c>
      <c r="H71" s="13" t="s">
        <v>46</v>
      </c>
      <c r="I71" s="3">
        <v>90</v>
      </c>
      <c r="J71" s="4"/>
      <c r="K71" s="4"/>
      <c r="L71" s="4"/>
      <c r="M71" s="4"/>
      <c r="N71" s="4">
        <v>1.0500030517578101</v>
      </c>
      <c r="O71" s="4"/>
      <c r="P71" s="4"/>
    </row>
    <row r="72" spans="1:16" x14ac:dyDescent="0.3">
      <c r="A72" s="12" t="str">
        <f>IFERROR(IF(D72="","",C72&amp;"_"&amp;
IF($D72=외피index!$B$3, 외피index!$C$3&amp;"_"&amp;COUNTIFS(D$2:$D72,외피index!$B$3,C$2:$C72,C72),
IF($D72=외피index!$B$4, 외피index!$C$4&amp;"_"&amp;COUNTIFS(D$2:$D72,외피index!$B$4,C$2:$C72,C72),
IF($D72=외피index!$B$5, 외피index!$C$5&amp;"_"&amp;COUNTIFS(D$2:$D72,외피index!$B$5,C$2:$C72,C72),
IF($D72=외피index!$B$6, 외피index!$C$6&amp;"_"&amp;COUNTIFS(D$2:$D72,외피index!$B$6,C$2:$C72,C72),
IF($D72=외피index!$B$7, 외피index!$C$7&amp;"_"&amp;COUNTIFS(D$2:$D72,외피index!$B$7,C$2:$C72,C72),
IF($D72=외피index!$B$8, 외피index!$C$8&amp;"_"&amp;COUNTIFS(D$2:$D72,외피index!$B$8,C$2:$C72,C72),
IF($D72=외피index!$B$9, 외피index!$C$9&amp;"_"&amp;COUNTIFS(D$2:$D72,외피index!$B$9,C$2:$C72,C72),
IF($D72=외피index!$B$10, 외피index!$C$10&amp;"_"&amp;COUNTIFS(D$2:$D72,외피index!$B$10,C$2:$C72,C72), 0))))))))),"")</f>
        <v>2F_Zone008_IW_1</v>
      </c>
      <c r="B72" s="13" t="s">
        <v>16</v>
      </c>
      <c r="C72" s="13" t="s">
        <v>25</v>
      </c>
      <c r="D72" s="13" t="s">
        <v>45</v>
      </c>
      <c r="E72" s="4"/>
      <c r="F72" s="3">
        <v>3.3600095653528101</v>
      </c>
      <c r="G72" s="4" t="s">
        <v>30</v>
      </c>
      <c r="H72" s="13" t="s">
        <v>46</v>
      </c>
      <c r="I72" s="3">
        <v>90</v>
      </c>
      <c r="J72" s="4"/>
      <c r="K72" s="4"/>
      <c r="L72" s="4"/>
      <c r="M72" s="4"/>
      <c r="N72" s="4">
        <v>1.0500030517578101</v>
      </c>
      <c r="O72" s="4"/>
      <c r="P72" s="4"/>
    </row>
    <row r="73" spans="1:16" x14ac:dyDescent="0.3">
      <c r="A73" s="12" t="str">
        <f>IFERROR(IF(D73="","",C73&amp;"_"&amp;
IF($D73=외피index!$B$3, 외피index!$C$3&amp;"_"&amp;COUNTIFS(D$2:$D73,외피index!$B$3,C$2:$C73,C73),
IF($D73=외피index!$B$4, 외피index!$C$4&amp;"_"&amp;COUNTIFS(D$2:$D73,외피index!$B$4,C$2:$C73,C73),
IF($D73=외피index!$B$5, 외피index!$C$5&amp;"_"&amp;COUNTIFS(D$2:$D73,외피index!$B$5,C$2:$C73,C73),
IF($D73=외피index!$B$6, 외피index!$C$6&amp;"_"&amp;COUNTIFS(D$2:$D73,외피index!$B$6,C$2:$C73,C73),
IF($D73=외피index!$B$7, 외피index!$C$7&amp;"_"&amp;COUNTIFS(D$2:$D73,외피index!$B$7,C$2:$C73,C73),
IF($D73=외피index!$B$8, 외피index!$C$8&amp;"_"&amp;COUNTIFS(D$2:$D73,외피index!$B$8,C$2:$C73,C73),
IF($D73=외피index!$B$9, 외피index!$C$9&amp;"_"&amp;COUNTIFS(D$2:$D73,외피index!$B$9,C$2:$C73,C73),
IF($D73=외피index!$B$10, 외피index!$C$10&amp;"_"&amp;COUNTIFS(D$2:$D73,외피index!$B$10,C$2:$C73,C73), 0))))))))),"")</f>
        <v>2F_Zone009_IW_1</v>
      </c>
      <c r="B73" s="13" t="s">
        <v>16</v>
      </c>
      <c r="C73" s="13" t="s">
        <v>27</v>
      </c>
      <c r="D73" s="13" t="s">
        <v>45</v>
      </c>
      <c r="E73" s="4"/>
      <c r="F73" s="3">
        <v>16.639989242554201</v>
      </c>
      <c r="G73" s="4" t="s">
        <v>21</v>
      </c>
      <c r="H73" s="13" t="s">
        <v>46</v>
      </c>
      <c r="I73" s="3">
        <v>90</v>
      </c>
      <c r="J73" s="4"/>
      <c r="K73" s="4"/>
      <c r="L73" s="4"/>
      <c r="M73" s="4"/>
      <c r="N73" s="4">
        <v>5.1999969482421804</v>
      </c>
      <c r="O73" s="4"/>
      <c r="P73" s="4"/>
    </row>
    <row r="74" spans="1:16" x14ac:dyDescent="0.3">
      <c r="A74" s="12" t="str">
        <f>IFERROR(IF(D74="","",C74&amp;"_"&amp;
IF($D74=외피index!$B$3, 외피index!$C$3&amp;"_"&amp;COUNTIFS(D$2:$D74,외피index!$B$3,C$2:$C74,C74),
IF($D74=외피index!$B$4, 외피index!$C$4&amp;"_"&amp;COUNTIFS(D$2:$D74,외피index!$B$4,C$2:$C74,C74),
IF($D74=외피index!$B$5, 외피index!$C$5&amp;"_"&amp;COUNTIFS(D$2:$D74,외피index!$B$5,C$2:$C74,C74),
IF($D74=외피index!$B$6, 외피index!$C$6&amp;"_"&amp;COUNTIFS(D$2:$D74,외피index!$B$6,C$2:$C74,C74),
IF($D74=외피index!$B$7, 외피index!$C$7&amp;"_"&amp;COUNTIFS(D$2:$D74,외피index!$B$7,C$2:$C74,C74),
IF($D74=외피index!$B$8, 외피index!$C$8&amp;"_"&amp;COUNTIFS(D$2:$D74,외피index!$B$8,C$2:$C74,C74),
IF($D74=외피index!$B$9, 외피index!$C$9&amp;"_"&amp;COUNTIFS(D$2:$D74,외피index!$B$9,C$2:$C74,C74),
IF($D74=외피index!$B$10, 외피index!$C$10&amp;"_"&amp;COUNTIFS(D$2:$D74,외피index!$B$10,C$2:$C74,C74), 0))))))))),"")</f>
        <v>3F_Zone018_IW_1</v>
      </c>
      <c r="B74" s="13" t="s">
        <v>35</v>
      </c>
      <c r="C74" s="13" t="s">
        <v>34</v>
      </c>
      <c r="D74" s="13" t="s">
        <v>45</v>
      </c>
      <c r="E74" s="4"/>
      <c r="F74" s="3">
        <v>4.3199710893604699</v>
      </c>
      <c r="G74" s="4" t="s">
        <v>31</v>
      </c>
      <c r="H74" s="13" t="s">
        <v>46</v>
      </c>
      <c r="I74" s="3">
        <v>90</v>
      </c>
      <c r="J74" s="4"/>
      <c r="K74" s="4"/>
      <c r="L74" s="4"/>
      <c r="M74" s="4"/>
      <c r="N74" s="4">
        <v>1.3499908447265601</v>
      </c>
      <c r="O74" s="4"/>
      <c r="P74" s="4"/>
    </row>
    <row r="75" spans="1:16" x14ac:dyDescent="0.3">
      <c r="A75" s="12" t="str">
        <f>IFERROR(IF(D75="","",C75&amp;"_"&amp;
IF($D75=외피index!$B$3, 외피index!$C$3&amp;"_"&amp;COUNTIFS(D$2:$D75,외피index!$B$3,C$2:$C75,C75),
IF($D75=외피index!$B$4, 외피index!$C$4&amp;"_"&amp;COUNTIFS(D$2:$D75,외피index!$B$4,C$2:$C75,C75),
IF($D75=외피index!$B$5, 외피index!$C$5&amp;"_"&amp;COUNTIFS(D$2:$D75,외피index!$B$5,C$2:$C75,C75),
IF($D75=외피index!$B$6, 외피index!$C$6&amp;"_"&amp;COUNTIFS(D$2:$D75,외피index!$B$6,C$2:$C75,C75),
IF($D75=외피index!$B$7, 외피index!$C$7&amp;"_"&amp;COUNTIFS(D$2:$D75,외피index!$B$7,C$2:$C75,C75),
IF($D75=외피index!$B$8, 외피index!$C$8&amp;"_"&amp;COUNTIFS(D$2:$D75,외피index!$B$8,C$2:$C75,C75),
IF($D75=외피index!$B$9, 외피index!$C$9&amp;"_"&amp;COUNTIFS(D$2:$D75,외피index!$B$9,C$2:$C75,C75),
IF($D75=외피index!$B$10, 외피index!$C$10&amp;"_"&amp;COUNTIFS(D$2:$D75,외피index!$B$10,C$2:$C75,C75), 0))))))))),"")</f>
        <v>1F_Zone004_IW_1</v>
      </c>
      <c r="B75" s="13" t="s">
        <v>37</v>
      </c>
      <c r="C75" s="13" t="s">
        <v>40</v>
      </c>
      <c r="D75" s="13" t="s">
        <v>45</v>
      </c>
      <c r="E75" s="4"/>
      <c r="F75" s="3">
        <v>11.440027103424599</v>
      </c>
      <c r="G75" s="4" t="s">
        <v>39</v>
      </c>
      <c r="H75" s="13" t="s">
        <v>46</v>
      </c>
      <c r="I75" s="3">
        <v>90</v>
      </c>
      <c r="J75" s="4"/>
      <c r="K75" s="4"/>
      <c r="L75" s="4"/>
      <c r="M75" s="4"/>
      <c r="N75" s="4">
        <v>2.6000061035156201</v>
      </c>
      <c r="O75" s="4"/>
      <c r="P75" s="4"/>
    </row>
    <row r="76" spans="1:16" x14ac:dyDescent="0.3">
      <c r="A76" s="12" t="str">
        <f>IFERROR(IF(D76="","",C76&amp;"_"&amp;
IF($D76=외피index!$B$3, 외피index!$C$3&amp;"_"&amp;COUNTIFS(D$2:$D76,외피index!$B$3,C$2:$C76,C76),
IF($D76=외피index!$B$4, 외피index!$C$4&amp;"_"&amp;COUNTIFS(D$2:$D76,외피index!$B$4,C$2:$C76,C76),
IF($D76=외피index!$B$5, 외피index!$C$5&amp;"_"&amp;COUNTIFS(D$2:$D76,외피index!$B$5,C$2:$C76,C76),
IF($D76=외피index!$B$6, 외피index!$C$6&amp;"_"&amp;COUNTIFS(D$2:$D76,외피index!$B$6,C$2:$C76,C76),
IF($D76=외피index!$B$7, 외피index!$C$7&amp;"_"&amp;COUNTIFS(D$2:$D76,외피index!$B$7,C$2:$C76,C76),
IF($D76=외피index!$B$8, 외피index!$C$8&amp;"_"&amp;COUNTIFS(D$2:$D76,외피index!$B$8,C$2:$C76,C76),
IF($D76=외피index!$B$9, 외피index!$C$9&amp;"_"&amp;COUNTIFS(D$2:$D76,외피index!$B$9,C$2:$C76,C76),
IF($D76=외피index!$B$10, 외피index!$C$10&amp;"_"&amp;COUNTIFS(D$2:$D76,외피index!$B$10,C$2:$C76,C76), 0))))))))),"")</f>
        <v>3F_Zone014_IW_1</v>
      </c>
      <c r="B76" s="13" t="s">
        <v>35</v>
      </c>
      <c r="C76" s="13" t="s">
        <v>19</v>
      </c>
      <c r="D76" s="13" t="s">
        <v>45</v>
      </c>
      <c r="E76" s="4"/>
      <c r="F76" s="3">
        <v>9.9199715900394896</v>
      </c>
      <c r="G76" s="4" t="s">
        <v>29</v>
      </c>
      <c r="H76" s="13" t="s">
        <v>46</v>
      </c>
      <c r="I76" s="3">
        <v>90</v>
      </c>
      <c r="J76" s="4"/>
      <c r="K76" s="4"/>
      <c r="L76" s="4"/>
      <c r="M76" s="4"/>
      <c r="N76" s="4">
        <v>3.0999908447265598</v>
      </c>
      <c r="O76" s="4"/>
      <c r="P76" s="4"/>
    </row>
    <row r="77" spans="1:16" x14ac:dyDescent="0.3">
      <c r="A77" s="12" t="str">
        <f>IFERROR(IF(D77="","",C77&amp;"_"&amp;
IF($D77=외피index!$B$3, 외피index!$C$3&amp;"_"&amp;COUNTIFS(D$2:$D77,외피index!$B$3,C$2:$C77,C77),
IF($D77=외피index!$B$4, 외피index!$C$4&amp;"_"&amp;COUNTIFS(D$2:$D77,외피index!$B$4,C$2:$C77,C77),
IF($D77=외피index!$B$5, 외피index!$C$5&amp;"_"&amp;COUNTIFS(D$2:$D77,외피index!$B$5,C$2:$C77,C77),
IF($D77=외피index!$B$6, 외피index!$C$6&amp;"_"&amp;COUNTIFS(D$2:$D77,외피index!$B$6,C$2:$C77,C77),
IF($D77=외피index!$B$7, 외피index!$C$7&amp;"_"&amp;COUNTIFS(D$2:$D77,외피index!$B$7,C$2:$C77,C77),
IF($D77=외피index!$B$8, 외피index!$C$8&amp;"_"&amp;COUNTIFS(D$2:$D77,외피index!$B$8,C$2:$C77,C77),
IF($D77=외피index!$B$9, 외피index!$C$9&amp;"_"&amp;COUNTIFS(D$2:$D77,외피index!$B$9,C$2:$C77,C77),
IF($D77=외피index!$B$10, 외피index!$C$10&amp;"_"&amp;COUNTIFS(D$2:$D77,외피index!$B$10,C$2:$C77,C77), 0))))))))),"")</f>
        <v>3F_Zone014_IW_2</v>
      </c>
      <c r="B77" s="13" t="s">
        <v>35</v>
      </c>
      <c r="C77" s="13" t="s">
        <v>19</v>
      </c>
      <c r="D77" s="13" t="s">
        <v>45</v>
      </c>
      <c r="E77" s="4"/>
      <c r="F77" s="3">
        <v>6.7200201320665602</v>
      </c>
      <c r="G77" s="4" t="s">
        <v>26</v>
      </c>
      <c r="H77" s="13" t="s">
        <v>46</v>
      </c>
      <c r="I77" s="3">
        <v>90</v>
      </c>
      <c r="J77" s="4"/>
      <c r="K77" s="4"/>
      <c r="L77" s="4"/>
      <c r="M77" s="4"/>
      <c r="N77" s="4">
        <v>2.1000061035156201</v>
      </c>
      <c r="O77" s="4"/>
      <c r="P77" s="4"/>
    </row>
    <row r="78" spans="1:16" x14ac:dyDescent="0.3">
      <c r="A78" s="12" t="str">
        <f>IFERROR(IF(D78="","",C78&amp;"_"&amp;
IF($D78=외피index!$B$3, 외피index!$C$3&amp;"_"&amp;COUNTIFS(D$2:$D78,외피index!$B$3,C$2:$C78,C78),
IF($D78=외피index!$B$4, 외피index!$C$4&amp;"_"&amp;COUNTIFS(D$2:$D78,외피index!$B$4,C$2:$C78,C78),
IF($D78=외피index!$B$5, 외피index!$C$5&amp;"_"&amp;COUNTIFS(D$2:$D78,외피index!$B$5,C$2:$C78,C78),
IF($D78=외피index!$B$6, 외피index!$C$6&amp;"_"&amp;COUNTIFS(D$2:$D78,외피index!$B$6,C$2:$C78,C78),
IF($D78=외피index!$B$7, 외피index!$C$7&amp;"_"&amp;COUNTIFS(D$2:$D78,외피index!$B$7,C$2:$C78,C78),
IF($D78=외피index!$B$8, 외피index!$C$8&amp;"_"&amp;COUNTIFS(D$2:$D78,외피index!$B$8,C$2:$C78,C78),
IF($D78=외피index!$B$9, 외피index!$C$9&amp;"_"&amp;COUNTIFS(D$2:$D78,외피index!$B$9,C$2:$C78,C78),
IF($D78=외피index!$B$10, 외피index!$C$10&amp;"_"&amp;COUNTIFS(D$2:$D78,외피index!$B$10,C$2:$C78,C78), 0))))))))),"")</f>
        <v>3F_Zone016_IW_3</v>
      </c>
      <c r="B78" s="13" t="s">
        <v>35</v>
      </c>
      <c r="C78" s="13" t="s">
        <v>26</v>
      </c>
      <c r="D78" s="13" t="s">
        <v>45</v>
      </c>
      <c r="E78" s="4"/>
      <c r="F78" s="3">
        <v>4.3199710893604699</v>
      </c>
      <c r="G78" s="4" t="s">
        <v>34</v>
      </c>
      <c r="H78" s="13" t="s">
        <v>46</v>
      </c>
      <c r="I78" s="3">
        <v>90</v>
      </c>
      <c r="J78" s="4"/>
      <c r="K78" s="4"/>
      <c r="L78" s="4"/>
      <c r="M78" s="4"/>
      <c r="N78" s="4">
        <v>1.3499908447265601</v>
      </c>
      <c r="O78" s="4"/>
      <c r="P78" s="4"/>
    </row>
    <row r="79" spans="1:16" x14ac:dyDescent="0.3">
      <c r="A79" s="12" t="str">
        <f>IFERROR(IF(D79="","",C79&amp;"_"&amp;
IF($D79=외피index!$B$3, 외피index!$C$3&amp;"_"&amp;COUNTIFS(D$2:$D79,외피index!$B$3,C$2:$C79,C79),
IF($D79=외피index!$B$4, 외피index!$C$4&amp;"_"&amp;COUNTIFS(D$2:$D79,외피index!$B$4,C$2:$C79,C79),
IF($D79=외피index!$B$5, 외피index!$C$5&amp;"_"&amp;COUNTIFS(D$2:$D79,외피index!$B$5,C$2:$C79,C79),
IF($D79=외피index!$B$6, 외피index!$C$6&amp;"_"&amp;COUNTIFS(D$2:$D79,외피index!$B$6,C$2:$C79,C79),
IF($D79=외피index!$B$7, 외피index!$C$7&amp;"_"&amp;COUNTIFS(D$2:$D79,외피index!$B$7,C$2:$C79,C79),
IF($D79=외피index!$B$8, 외피index!$C$8&amp;"_"&amp;COUNTIFS(D$2:$D79,외피index!$B$8,C$2:$C79,C79),
IF($D79=외피index!$B$9, 외피index!$C$9&amp;"_"&amp;COUNTIFS(D$2:$D79,외피index!$B$9,C$2:$C79,C79),
IF($D79=외피index!$B$10, 외피index!$C$10&amp;"_"&amp;COUNTIFS(D$2:$D79,외피index!$B$10,C$2:$C79,C79), 0))))))))),"")</f>
        <v>2F_Zone008_IW_2</v>
      </c>
      <c r="B79" s="13" t="s">
        <v>16</v>
      </c>
      <c r="C79" s="13" t="s">
        <v>25</v>
      </c>
      <c r="D79" s="13" t="s">
        <v>45</v>
      </c>
      <c r="E79" s="4"/>
      <c r="F79" s="3">
        <v>4.3199704456346799</v>
      </c>
      <c r="G79" s="4" t="s">
        <v>32</v>
      </c>
      <c r="H79" s="13" t="s">
        <v>46</v>
      </c>
      <c r="I79" s="3">
        <v>90</v>
      </c>
      <c r="J79" s="4"/>
      <c r="K79" s="4"/>
      <c r="L79" s="4"/>
      <c r="M79" s="4"/>
      <c r="N79" s="4">
        <v>1.3499908447265601</v>
      </c>
      <c r="O79" s="4"/>
      <c r="P79" s="4"/>
    </row>
    <row r="80" spans="1:16" x14ac:dyDescent="0.3">
      <c r="A80" s="12" t="str">
        <f>IFERROR(IF(D80="","",C80&amp;"_"&amp;
IF($D80=외피index!$B$3, 외피index!$C$3&amp;"_"&amp;COUNTIFS(D$2:$D80,외피index!$B$3,C$2:$C80,C80),
IF($D80=외피index!$B$4, 외피index!$C$4&amp;"_"&amp;COUNTIFS(D$2:$D80,외피index!$B$4,C$2:$C80,C80),
IF($D80=외피index!$B$5, 외피index!$C$5&amp;"_"&amp;COUNTIFS(D$2:$D80,외피index!$B$5,C$2:$C80,C80),
IF($D80=외피index!$B$6, 외피index!$C$6&amp;"_"&amp;COUNTIFS(D$2:$D80,외피index!$B$6,C$2:$C80,C80),
IF($D80=외피index!$B$7, 외피index!$C$7&amp;"_"&amp;COUNTIFS(D$2:$D80,외피index!$B$7,C$2:$C80,C80),
IF($D80=외피index!$B$8, 외피index!$C$8&amp;"_"&amp;COUNTIFS(D$2:$D80,외피index!$B$8,C$2:$C80,C80),
IF($D80=외피index!$B$9, 외피index!$C$9&amp;"_"&amp;COUNTIFS(D$2:$D80,외피index!$B$9,C$2:$C80,C80),
IF($D80=외피index!$B$10, 외피index!$C$10&amp;"_"&amp;COUNTIFS(D$2:$D80,외피index!$B$10,C$2:$C80,C80), 0))))))))),"")</f>
        <v>2F_Zone010_IW_1</v>
      </c>
      <c r="B80" s="13" t="s">
        <v>16</v>
      </c>
      <c r="C80" s="13" t="s">
        <v>28</v>
      </c>
      <c r="D80" s="13" t="s">
        <v>45</v>
      </c>
      <c r="E80" s="4"/>
      <c r="F80" s="3">
        <v>3.3600095653528101</v>
      </c>
      <c r="G80" s="4" t="s">
        <v>32</v>
      </c>
      <c r="H80" s="13" t="s">
        <v>46</v>
      </c>
      <c r="I80" s="3">
        <v>90</v>
      </c>
      <c r="J80" s="4"/>
      <c r="K80" s="4"/>
      <c r="L80" s="4"/>
      <c r="M80" s="4"/>
      <c r="N80" s="4">
        <v>1.0500030517578101</v>
      </c>
      <c r="O80" s="4"/>
      <c r="P80" s="4"/>
    </row>
    <row r="81" spans="1:16" x14ac:dyDescent="0.3">
      <c r="A81" s="12" t="str">
        <f>IFERROR(IF(D81="","",C81&amp;"_"&amp;
IF($D81=외피index!$B$3, 외피index!$C$3&amp;"_"&amp;COUNTIFS(D$2:$D81,외피index!$B$3,C$2:$C81,C81),
IF($D81=외피index!$B$4, 외피index!$C$4&amp;"_"&amp;COUNTIFS(D$2:$D81,외피index!$B$4,C$2:$C81,C81),
IF($D81=외피index!$B$5, 외피index!$C$5&amp;"_"&amp;COUNTIFS(D$2:$D81,외피index!$B$5,C$2:$C81,C81),
IF($D81=외피index!$B$6, 외피index!$C$6&amp;"_"&amp;COUNTIFS(D$2:$D81,외피index!$B$6,C$2:$C81,C81),
IF($D81=외피index!$B$7, 외피index!$C$7&amp;"_"&amp;COUNTIFS(D$2:$D81,외피index!$B$7,C$2:$C81,C81),
IF($D81=외피index!$B$8, 외피index!$C$8&amp;"_"&amp;COUNTIFS(D$2:$D81,외피index!$B$8,C$2:$C81,C81),
IF($D81=외피index!$B$9, 외피index!$C$9&amp;"_"&amp;COUNTIFS(D$2:$D81,외피index!$B$9,C$2:$C81,C81),
IF($D81=외피index!$B$10, 외피index!$C$10&amp;"_"&amp;COUNTIFS(D$2:$D81,외피index!$B$10,C$2:$C81,C81), 0))))))))),"")</f>
        <v>3F_Zone015_WL_1</v>
      </c>
      <c r="B81" s="13" t="s">
        <v>35</v>
      </c>
      <c r="C81" s="13" t="s">
        <v>22</v>
      </c>
      <c r="D81" s="13" t="s">
        <v>47</v>
      </c>
      <c r="E81" s="4"/>
      <c r="F81" s="3">
        <v>12.739842376708101</v>
      </c>
      <c r="G81" s="4"/>
      <c r="H81" s="13" t="s">
        <v>46</v>
      </c>
      <c r="I81" s="3">
        <v>90</v>
      </c>
      <c r="J81" s="4"/>
      <c r="K81" s="4"/>
      <c r="L81" s="4"/>
      <c r="M81" s="4"/>
      <c r="N81" s="4">
        <v>5.1999969482421804</v>
      </c>
      <c r="O81" s="4"/>
      <c r="P81" s="4"/>
    </row>
    <row r="82" spans="1:16" x14ac:dyDescent="0.3">
      <c r="A82" s="12" t="str">
        <f>IFERROR(IF(D82="","",C82&amp;"_"&amp;
IF($D82=외피index!$B$3, 외피index!$C$3&amp;"_"&amp;COUNTIFS(D$2:$D82,외피index!$B$3,C$2:$C82,C82),
IF($D82=외피index!$B$4, 외피index!$C$4&amp;"_"&amp;COUNTIFS(D$2:$D82,외피index!$B$4,C$2:$C82,C82),
IF($D82=외피index!$B$5, 외피index!$C$5&amp;"_"&amp;COUNTIFS(D$2:$D82,외피index!$B$5,C$2:$C82,C82),
IF($D82=외피index!$B$6, 외피index!$C$6&amp;"_"&amp;COUNTIFS(D$2:$D82,외피index!$B$6,C$2:$C82,C82),
IF($D82=외피index!$B$7, 외피index!$C$7&amp;"_"&amp;COUNTIFS(D$2:$D82,외피index!$B$7,C$2:$C82,C82),
IF($D82=외피index!$B$8, 외피index!$C$8&amp;"_"&amp;COUNTIFS(D$2:$D82,외피index!$B$8,C$2:$C82,C82),
IF($D82=외피index!$B$9, 외피index!$C$9&amp;"_"&amp;COUNTIFS(D$2:$D82,외피index!$B$9,C$2:$C82,C82),
IF($D82=외피index!$B$10, 외피index!$C$10&amp;"_"&amp;COUNTIFS(D$2:$D82,외피index!$B$10,C$2:$C82,C82), 0))))))))),"")</f>
        <v>2F_Zone007_WL_1</v>
      </c>
      <c r="B82" s="13" t="s">
        <v>16</v>
      </c>
      <c r="C82" s="13" t="s">
        <v>21</v>
      </c>
      <c r="D82" s="13" t="s">
        <v>47</v>
      </c>
      <c r="E82" s="4"/>
      <c r="F82" s="3">
        <v>12.7399901008611</v>
      </c>
      <c r="G82" s="4"/>
      <c r="H82" s="13" t="s">
        <v>46</v>
      </c>
      <c r="I82" s="3">
        <v>90</v>
      </c>
      <c r="J82" s="4"/>
      <c r="K82" s="4"/>
      <c r="L82" s="4"/>
      <c r="M82" s="4"/>
      <c r="N82" s="4">
        <v>5.1999969482421804</v>
      </c>
      <c r="O82" s="4"/>
      <c r="P82" s="4"/>
    </row>
    <row r="83" spans="1:16" x14ac:dyDescent="0.3">
      <c r="A83" s="12" t="str">
        <f>IFERROR(IF(D83="","",C83&amp;"_"&amp;
IF($D83=외피index!$B$3, 외피index!$C$3&amp;"_"&amp;COUNTIFS(D$2:$D83,외피index!$B$3,C$2:$C83,C83),
IF($D83=외피index!$B$4, 외피index!$C$4&amp;"_"&amp;COUNTIFS(D$2:$D83,외피index!$B$4,C$2:$C83,C83),
IF($D83=외피index!$B$5, 외피index!$C$5&amp;"_"&amp;COUNTIFS(D$2:$D83,외피index!$B$5,C$2:$C83,C83),
IF($D83=외피index!$B$6, 외피index!$C$6&amp;"_"&amp;COUNTIFS(D$2:$D83,외피index!$B$6,C$2:$C83,C83),
IF($D83=외피index!$B$7, 외피index!$C$7&amp;"_"&amp;COUNTIFS(D$2:$D83,외피index!$B$7,C$2:$C83,C83),
IF($D83=외피index!$B$8, 외피index!$C$8&amp;"_"&amp;COUNTIFS(D$2:$D83,외피index!$B$8,C$2:$C83,C83),
IF($D83=외피index!$B$9, 외피index!$C$9&amp;"_"&amp;COUNTIFS(D$2:$D83,외피index!$B$9,C$2:$C83,C83),
IF($D83=외피index!$B$10, 외피index!$C$10&amp;"_"&amp;COUNTIFS(D$2:$D83,외피index!$B$10,C$2:$C83,C83), 0))))))))),"")</f>
        <v>2F_Zone010_WL_1</v>
      </c>
      <c r="B83" s="13" t="s">
        <v>16</v>
      </c>
      <c r="C83" s="13" t="s">
        <v>28</v>
      </c>
      <c r="D83" s="13" t="s">
        <v>47</v>
      </c>
      <c r="E83" s="4"/>
      <c r="F83" s="3">
        <v>8.3200190353381895</v>
      </c>
      <c r="G83" s="4"/>
      <c r="H83" s="13" t="s">
        <v>46</v>
      </c>
      <c r="I83" s="3">
        <v>90</v>
      </c>
      <c r="J83" s="4"/>
      <c r="K83" s="4"/>
      <c r="L83" s="4"/>
      <c r="M83" s="4"/>
      <c r="N83" s="4">
        <v>2.6000061035156201</v>
      </c>
      <c r="O83" s="4"/>
      <c r="P83" s="4"/>
    </row>
    <row r="84" spans="1:16" x14ac:dyDescent="0.3">
      <c r="A84" s="12" t="str">
        <f>IFERROR(IF(D84="","",C84&amp;"_"&amp;
IF($D84=외피index!$B$3, 외피index!$C$3&amp;"_"&amp;COUNTIFS(D$2:$D84,외피index!$B$3,C$2:$C84,C84),
IF($D84=외피index!$B$4, 외피index!$C$4&amp;"_"&amp;COUNTIFS(D$2:$D84,외피index!$B$4,C$2:$C84,C84),
IF($D84=외피index!$B$5, 외피index!$C$5&amp;"_"&amp;COUNTIFS(D$2:$D84,외피index!$B$5,C$2:$C84,C84),
IF($D84=외피index!$B$6, 외피index!$C$6&amp;"_"&amp;COUNTIFS(D$2:$D84,외피index!$B$6,C$2:$C84,C84),
IF($D84=외피index!$B$7, 외피index!$C$7&amp;"_"&amp;COUNTIFS(D$2:$D84,외피index!$B$7,C$2:$C84,C84),
IF($D84=외피index!$B$8, 외피index!$C$8&amp;"_"&amp;COUNTIFS(D$2:$D84,외피index!$B$8,C$2:$C84,C84),
IF($D84=외피index!$B$9, 외피index!$C$9&amp;"_"&amp;COUNTIFS(D$2:$D84,외피index!$B$9,C$2:$C84,C84),
IF($D84=외피index!$B$10, 외피index!$C$10&amp;"_"&amp;COUNTIFS(D$2:$D84,외피index!$B$10,C$2:$C84,C84), 0))))))))),"")</f>
        <v>3F_Zone020_WL_1</v>
      </c>
      <c r="B84" s="13" t="s">
        <v>35</v>
      </c>
      <c r="C84" s="13" t="s">
        <v>33</v>
      </c>
      <c r="D84" s="13" t="s">
        <v>47</v>
      </c>
      <c r="E84" s="4"/>
      <c r="F84" s="3">
        <v>5.7299064826947799</v>
      </c>
      <c r="G84" s="4"/>
      <c r="H84" s="13" t="s">
        <v>46</v>
      </c>
      <c r="I84" s="3">
        <v>90</v>
      </c>
      <c r="J84" s="4"/>
      <c r="K84" s="4"/>
      <c r="L84" s="4"/>
      <c r="M84" s="4"/>
      <c r="N84" s="4">
        <v>2.3999938964843701</v>
      </c>
      <c r="O84" s="4"/>
      <c r="P84" s="4"/>
    </row>
    <row r="85" spans="1:16" x14ac:dyDescent="0.3">
      <c r="A85" s="12" t="str">
        <f>IFERROR(IF(D85="","",C85&amp;"_"&amp;
IF($D85=외피index!$B$3, 외피index!$C$3&amp;"_"&amp;COUNTIFS(D$2:$D85,외피index!$B$3,C$2:$C85,C85),
IF($D85=외피index!$B$4, 외피index!$C$4&amp;"_"&amp;COUNTIFS(D$2:$D85,외피index!$B$4,C$2:$C85,C85),
IF($D85=외피index!$B$5, 외피index!$C$5&amp;"_"&amp;COUNTIFS(D$2:$D85,외피index!$B$5,C$2:$C85,C85),
IF($D85=외피index!$B$6, 외피index!$C$6&amp;"_"&amp;COUNTIFS(D$2:$D85,외피index!$B$6,C$2:$C85,C85),
IF($D85=외피index!$B$7, 외피index!$C$7&amp;"_"&amp;COUNTIFS(D$2:$D85,외피index!$B$7,C$2:$C85,C85),
IF($D85=외피index!$B$8, 외피index!$C$8&amp;"_"&amp;COUNTIFS(D$2:$D85,외피index!$B$8,C$2:$C85,C85),
IF($D85=외피index!$B$9, 외피index!$C$9&amp;"_"&amp;COUNTIFS(D$2:$D85,외피index!$B$9,C$2:$C85,C85),
IF($D85=외피index!$B$10, 외피index!$C$10&amp;"_"&amp;COUNTIFS(D$2:$D85,외피index!$B$10,C$2:$C85,C85), 0))))))))),"")</f>
        <v>2F_Zone013_WL_1</v>
      </c>
      <c r="B85" s="13" t="s">
        <v>16</v>
      </c>
      <c r="C85" s="13" t="s">
        <v>32</v>
      </c>
      <c r="D85" s="13" t="s">
        <v>47</v>
      </c>
      <c r="E85" s="4"/>
      <c r="F85" s="3">
        <v>7.6799800109874896</v>
      </c>
      <c r="G85" s="4"/>
      <c r="H85" s="13" t="s">
        <v>46</v>
      </c>
      <c r="I85" s="3">
        <v>90</v>
      </c>
      <c r="J85" s="4"/>
      <c r="K85" s="4"/>
      <c r="L85" s="4"/>
      <c r="M85" s="4"/>
      <c r="N85" s="4">
        <v>2.3999938964843701</v>
      </c>
      <c r="O85" s="4"/>
      <c r="P85" s="4"/>
    </row>
    <row r="86" spans="1:16" x14ac:dyDescent="0.3">
      <c r="A86" s="12" t="str">
        <f>IFERROR(IF(D86="","",C86&amp;"_"&amp;
IF($D86=외피index!$B$3, 외피index!$C$3&amp;"_"&amp;COUNTIFS(D$2:$D86,외피index!$B$3,C$2:$C86,C86),
IF($D86=외피index!$B$4, 외피index!$C$4&amp;"_"&amp;COUNTIFS(D$2:$D86,외피index!$B$4,C$2:$C86,C86),
IF($D86=외피index!$B$5, 외피index!$C$5&amp;"_"&amp;COUNTIFS(D$2:$D86,외피index!$B$5,C$2:$C86,C86),
IF($D86=외피index!$B$6, 외피index!$C$6&amp;"_"&amp;COUNTIFS(D$2:$D86,외피index!$B$6,C$2:$C86,C86),
IF($D86=외피index!$B$7, 외피index!$C$7&amp;"_"&amp;COUNTIFS(D$2:$D86,외피index!$B$7,C$2:$C86,C86),
IF($D86=외피index!$B$8, 외피index!$C$8&amp;"_"&amp;COUNTIFS(D$2:$D86,외피index!$B$8,C$2:$C86,C86),
IF($D86=외피index!$B$9, 외피index!$C$9&amp;"_"&amp;COUNTIFS(D$2:$D86,외피index!$B$9,C$2:$C86,C86),
IF($D86=외피index!$B$10, 외피index!$C$10&amp;"_"&amp;COUNTIFS(D$2:$D86,외피index!$B$10,C$2:$C86,C86), 0))))))))),"")</f>
        <v>2F_Zone012_IW_1</v>
      </c>
      <c r="B86" s="13" t="s">
        <v>16</v>
      </c>
      <c r="C86" s="13" t="s">
        <v>30</v>
      </c>
      <c r="D86" s="13" t="s">
        <v>45</v>
      </c>
      <c r="E86" s="4"/>
      <c r="F86" s="3">
        <v>11.680028600690999</v>
      </c>
      <c r="G86" s="4" t="s">
        <v>28</v>
      </c>
      <c r="H86" s="13" t="s">
        <v>46</v>
      </c>
      <c r="I86" s="3">
        <v>90</v>
      </c>
      <c r="J86" s="4"/>
      <c r="K86" s="4"/>
      <c r="L86" s="4"/>
      <c r="M86" s="4"/>
      <c r="N86" s="4">
        <v>3.65000915527343</v>
      </c>
      <c r="O86" s="4"/>
      <c r="P86" s="4"/>
    </row>
    <row r="87" spans="1:16" x14ac:dyDescent="0.3">
      <c r="A87" s="12" t="str">
        <f>IFERROR(IF(D87="","",C87&amp;"_"&amp;
IF($D87=외피index!$B$3, 외피index!$C$3&amp;"_"&amp;COUNTIFS(D$2:$D87,외피index!$B$3,C$2:$C87,C87),
IF($D87=외피index!$B$4, 외피index!$C$4&amp;"_"&amp;COUNTIFS(D$2:$D87,외피index!$B$4,C$2:$C87,C87),
IF($D87=외피index!$B$5, 외피index!$C$5&amp;"_"&amp;COUNTIFS(D$2:$D87,외피index!$B$5,C$2:$C87,C87),
IF($D87=외피index!$B$6, 외피index!$C$6&amp;"_"&amp;COUNTIFS(D$2:$D87,외피index!$B$6,C$2:$C87,C87),
IF($D87=외피index!$B$7, 외피index!$C$7&amp;"_"&amp;COUNTIFS(D$2:$D87,외피index!$B$7,C$2:$C87,C87),
IF($D87=외피index!$B$8, 외피index!$C$8&amp;"_"&amp;COUNTIFS(D$2:$D87,외피index!$B$8,C$2:$C87,C87),
IF($D87=외피index!$B$9, 외피index!$C$9&amp;"_"&amp;COUNTIFS(D$2:$D87,외피index!$B$9,C$2:$C87,C87),
IF($D87=외피index!$B$10, 외피index!$C$10&amp;"_"&amp;COUNTIFS(D$2:$D87,외피index!$B$10,C$2:$C87,C87), 0))))))))),"")</f>
        <v>1F_Zone005_WL_1</v>
      </c>
      <c r="B87" s="13" t="s">
        <v>37</v>
      </c>
      <c r="C87" s="13" t="s">
        <v>42</v>
      </c>
      <c r="D87" s="13" t="s">
        <v>47</v>
      </c>
      <c r="E87" s="4"/>
      <c r="F87" s="3">
        <v>1.42977749477711</v>
      </c>
      <c r="G87" s="4"/>
      <c r="H87" s="13" t="s">
        <v>46</v>
      </c>
      <c r="I87" s="3">
        <v>90</v>
      </c>
      <c r="J87" s="4"/>
      <c r="K87" s="4"/>
      <c r="L87" s="4"/>
      <c r="M87" s="4"/>
      <c r="N87" s="4">
        <v>0.885009765625</v>
      </c>
      <c r="O87" s="4"/>
      <c r="P87" s="4"/>
    </row>
    <row r="88" spans="1:16" x14ac:dyDescent="0.3">
      <c r="A88" s="12" t="str">
        <f>IFERROR(IF(D88="","",C88&amp;"_"&amp;
IF($D88=외피index!$B$3, 외피index!$C$3&amp;"_"&amp;COUNTIFS(D$2:$D88,외피index!$B$3,C$2:$C88,C88),
IF($D88=외피index!$B$4, 외피index!$C$4&amp;"_"&amp;COUNTIFS(D$2:$D88,외피index!$B$4,C$2:$C88,C88),
IF($D88=외피index!$B$5, 외피index!$C$5&amp;"_"&amp;COUNTIFS(D$2:$D88,외피index!$B$5,C$2:$C88,C88),
IF($D88=외피index!$B$6, 외피index!$C$6&amp;"_"&amp;COUNTIFS(D$2:$D88,외피index!$B$6,C$2:$C88,C88),
IF($D88=외피index!$B$7, 외피index!$C$7&amp;"_"&amp;COUNTIFS(D$2:$D88,외피index!$B$7,C$2:$C88,C88),
IF($D88=외피index!$B$8, 외피index!$C$8&amp;"_"&amp;COUNTIFS(D$2:$D88,외피index!$B$8,C$2:$C88,C88),
IF($D88=외피index!$B$9, 외피index!$C$9&amp;"_"&amp;COUNTIFS(D$2:$D88,외피index!$B$9,C$2:$C88,C88),
IF($D88=외피index!$B$10, 외피index!$C$10&amp;"_"&amp;COUNTIFS(D$2:$D88,외피index!$B$10,C$2:$C88,C88), 0))))))))),"")</f>
        <v>2F_Zone007_WIN_1</v>
      </c>
      <c r="B88" s="13" t="s">
        <v>16</v>
      </c>
      <c r="C88" s="13" t="s">
        <v>21</v>
      </c>
      <c r="D88" s="13" t="s">
        <v>48</v>
      </c>
      <c r="E88" s="4"/>
      <c r="F88" s="3">
        <v>1.9499995708465501</v>
      </c>
      <c r="G88" s="4"/>
      <c r="H88" s="13" t="s">
        <v>46</v>
      </c>
      <c r="I88" s="3">
        <v>90</v>
      </c>
      <c r="J88" s="4">
        <v>0</v>
      </c>
      <c r="K88" s="4">
        <v>0</v>
      </c>
      <c r="L88" s="4">
        <v>0</v>
      </c>
      <c r="M88" s="4">
        <v>12.4175190925598</v>
      </c>
      <c r="N88" s="4"/>
      <c r="O88" s="4">
        <v>1.5</v>
      </c>
      <c r="P88" s="4">
        <v>1.9849431367507999</v>
      </c>
    </row>
    <row r="89" spans="1:16" x14ac:dyDescent="0.3">
      <c r="A89" s="12" t="str">
        <f>IFERROR(IF(D89="","",C89&amp;"_"&amp;
IF($D89=외피index!$B$3, 외피index!$C$3&amp;"_"&amp;COUNTIFS(D$2:$D89,외피index!$B$3,C$2:$C89,C89),
IF($D89=외피index!$B$4, 외피index!$C$4&amp;"_"&amp;COUNTIFS(D$2:$D89,외피index!$B$4,C$2:$C89,C89),
IF($D89=외피index!$B$5, 외피index!$C$5&amp;"_"&amp;COUNTIFS(D$2:$D89,외피index!$B$5,C$2:$C89,C89),
IF($D89=외피index!$B$6, 외피index!$C$6&amp;"_"&amp;COUNTIFS(D$2:$D89,외피index!$B$6,C$2:$C89,C89),
IF($D89=외피index!$B$7, 외피index!$C$7&amp;"_"&amp;COUNTIFS(D$2:$D89,외피index!$B$7,C$2:$C89,C89),
IF($D89=외피index!$B$8, 외피index!$C$8&amp;"_"&amp;COUNTIFS(D$2:$D89,외피index!$B$8,C$2:$C89,C89),
IF($D89=외피index!$B$9, 외피index!$C$9&amp;"_"&amp;COUNTIFS(D$2:$D89,외피index!$B$9,C$2:$C89,C89),
IF($D89=외피index!$B$10, 외피index!$C$10&amp;"_"&amp;COUNTIFS(D$2:$D89,외피index!$B$10,C$2:$C89,C89), 0))))))))),"")</f>
        <v>2F_Zone007_WIN_2</v>
      </c>
      <c r="B89" s="13" t="s">
        <v>16</v>
      </c>
      <c r="C89" s="13" t="s">
        <v>21</v>
      </c>
      <c r="D89" s="13" t="s">
        <v>48</v>
      </c>
      <c r="E89" s="4"/>
      <c r="F89" s="3">
        <v>1.9499995708465501</v>
      </c>
      <c r="G89" s="4"/>
      <c r="H89" s="13" t="s">
        <v>46</v>
      </c>
      <c r="I89" s="3">
        <v>90</v>
      </c>
      <c r="J89" s="4">
        <v>0</v>
      </c>
      <c r="K89" s="4">
        <v>0</v>
      </c>
      <c r="L89" s="4">
        <v>0</v>
      </c>
      <c r="M89" s="4">
        <v>12.4175190925598</v>
      </c>
      <c r="N89" s="4"/>
      <c r="O89" s="4">
        <v>1.5</v>
      </c>
      <c r="P89" s="4">
        <v>1.9849431367507999</v>
      </c>
    </row>
    <row r="90" spans="1:16" x14ac:dyDescent="0.3">
      <c r="A90" s="12" t="str">
        <f>IFERROR(IF(D90="","",C90&amp;"_"&amp;
IF($D90=외피index!$B$3, 외피index!$C$3&amp;"_"&amp;COUNTIFS(D$2:$D90,외피index!$B$3,C$2:$C90,C90),
IF($D90=외피index!$B$4, 외피index!$C$4&amp;"_"&amp;COUNTIFS(D$2:$D90,외피index!$B$4,C$2:$C90,C90),
IF($D90=외피index!$B$5, 외피index!$C$5&amp;"_"&amp;COUNTIFS(D$2:$D90,외피index!$B$5,C$2:$C90,C90),
IF($D90=외피index!$B$6, 외피index!$C$6&amp;"_"&amp;COUNTIFS(D$2:$D90,외피index!$B$6,C$2:$C90,C90),
IF($D90=외피index!$B$7, 외피index!$C$7&amp;"_"&amp;COUNTIFS(D$2:$D90,외피index!$B$7,C$2:$C90,C90),
IF($D90=외피index!$B$8, 외피index!$C$8&amp;"_"&amp;COUNTIFS(D$2:$D90,외피index!$B$8,C$2:$C90,C90),
IF($D90=외피index!$B$9, 외피index!$C$9&amp;"_"&amp;COUNTIFS(D$2:$D90,외피index!$B$9,C$2:$C90,C90),
IF($D90=외피index!$B$10, 외피index!$C$10&amp;"_"&amp;COUNTIFS(D$2:$D90,외피index!$B$10,C$2:$C90,C90), 0))))))))),"")</f>
        <v>3F_Zone020_WIN_1</v>
      </c>
      <c r="B90" s="13" t="s">
        <v>35</v>
      </c>
      <c r="C90" s="13" t="s">
        <v>33</v>
      </c>
      <c r="D90" s="13" t="s">
        <v>48</v>
      </c>
      <c r="E90" s="4"/>
      <c r="F90" s="3">
        <v>1.9500746726989699</v>
      </c>
      <c r="G90" s="4"/>
      <c r="H90" s="13" t="s">
        <v>46</v>
      </c>
      <c r="I90" s="3">
        <v>90</v>
      </c>
      <c r="J90" s="4">
        <v>0</v>
      </c>
      <c r="K90" s="4">
        <v>0</v>
      </c>
      <c r="L90" s="4">
        <v>0</v>
      </c>
      <c r="M90" s="4">
        <v>9.16114902496337</v>
      </c>
      <c r="N90" s="4"/>
      <c r="O90" s="4">
        <v>1.5</v>
      </c>
      <c r="P90" s="4">
        <v>1.9849759281050301</v>
      </c>
    </row>
    <row r="91" spans="1:16" x14ac:dyDescent="0.3">
      <c r="A91" s="12" t="str">
        <f>IFERROR(IF(D91="","",C91&amp;"_"&amp;
IF($D91=외피index!$B$3, 외피index!$C$3&amp;"_"&amp;COUNTIFS(D$2:$D91,외피index!$B$3,C$2:$C91,C91),
IF($D91=외피index!$B$4, 외피index!$C$4&amp;"_"&amp;COUNTIFS(D$2:$D91,외피index!$B$4,C$2:$C91,C91),
IF($D91=외피index!$B$5, 외피index!$C$5&amp;"_"&amp;COUNTIFS(D$2:$D91,외피index!$B$5,C$2:$C91,C91),
IF($D91=외피index!$B$6, 외피index!$C$6&amp;"_"&amp;COUNTIFS(D$2:$D91,외피index!$B$6,C$2:$C91,C91),
IF($D91=외피index!$B$7, 외피index!$C$7&amp;"_"&amp;COUNTIFS(D$2:$D91,외피index!$B$7,C$2:$C91,C91),
IF($D91=외피index!$B$8, 외피index!$C$8&amp;"_"&amp;COUNTIFS(D$2:$D91,외피index!$B$8,C$2:$C91,C91),
IF($D91=외피index!$B$9, 외피index!$C$9&amp;"_"&amp;COUNTIFS(D$2:$D91,외피index!$B$9,C$2:$C91,C91),
IF($D91=외피index!$B$10, 외피index!$C$10&amp;"_"&amp;COUNTIFS(D$2:$D91,외피index!$B$10,C$2:$C91,C91), 0))))))))),"")</f>
        <v>1F_Zone005_CW_1</v>
      </c>
      <c r="B91" s="13" t="s">
        <v>37</v>
      </c>
      <c r="C91" s="13" t="s">
        <v>42</v>
      </c>
      <c r="D91" s="13" t="s">
        <v>49</v>
      </c>
      <c r="E91" s="4" t="s">
        <v>50</v>
      </c>
      <c r="F91" s="3">
        <v>1.8447586802359399</v>
      </c>
      <c r="G91" s="4"/>
      <c r="H91" s="13" t="s">
        <v>46</v>
      </c>
      <c r="I91" s="3">
        <v>90</v>
      </c>
      <c r="J91" s="4">
        <v>0</v>
      </c>
      <c r="K91" s="4">
        <v>0</v>
      </c>
      <c r="L91" s="4">
        <v>0</v>
      </c>
      <c r="M91" s="4">
        <v>17.8819992057979</v>
      </c>
      <c r="N91" s="4"/>
      <c r="O91" s="4">
        <v>0.785003662109375</v>
      </c>
      <c r="P91" s="4">
        <v>2.4776463012807701</v>
      </c>
    </row>
    <row r="92" spans="1:16" x14ac:dyDescent="0.3">
      <c r="A92" s="12" t="str">
        <f>IFERROR(IF(D92="","",C92&amp;"_"&amp;
IF($D92=외피index!$B$3, 외피index!$C$3&amp;"_"&amp;COUNTIFS(D$2:$D92,외피index!$B$3,C$2:$C92,C92),
IF($D92=외피index!$B$4, 외피index!$C$4&amp;"_"&amp;COUNTIFS(D$2:$D92,외피index!$B$4,C$2:$C92,C92),
IF($D92=외피index!$B$5, 외피index!$C$5&amp;"_"&amp;COUNTIFS(D$2:$D92,외피index!$B$5,C$2:$C92,C92),
IF($D92=외피index!$B$6, 외피index!$C$6&amp;"_"&amp;COUNTIFS(D$2:$D92,외피index!$B$6,C$2:$C92,C92),
IF($D92=외피index!$B$7, 외피index!$C$7&amp;"_"&amp;COUNTIFS(D$2:$D92,외피index!$B$7,C$2:$C92,C92),
IF($D92=외피index!$B$8, 외피index!$C$8&amp;"_"&amp;COUNTIFS(D$2:$D92,외피index!$B$8,C$2:$C92,C92),
IF($D92=외피index!$B$9, 외피index!$C$9&amp;"_"&amp;COUNTIFS(D$2:$D92,외피index!$B$9,C$2:$C92,C92),
IF($D92=외피index!$B$10, 외피index!$C$10&amp;"_"&amp;COUNTIFS(D$2:$D92,외피index!$B$10,C$2:$C92,C92), 0))))))))),"")</f>
        <v>3F_Zone015_WIN_1</v>
      </c>
      <c r="B92" s="13" t="s">
        <v>35</v>
      </c>
      <c r="C92" s="13" t="s">
        <v>22</v>
      </c>
      <c r="D92" s="13" t="s">
        <v>48</v>
      </c>
      <c r="E92" s="4"/>
      <c r="F92" s="3">
        <v>1.9500746726989699</v>
      </c>
      <c r="G92" s="4"/>
      <c r="H92" s="13" t="s">
        <v>46</v>
      </c>
      <c r="I92" s="3">
        <v>90</v>
      </c>
      <c r="J92" s="4">
        <v>0</v>
      </c>
      <c r="K92" s="4">
        <v>0</v>
      </c>
      <c r="L92" s="4">
        <v>0</v>
      </c>
      <c r="M92" s="4">
        <v>9.16114902496337</v>
      </c>
      <c r="N92" s="4"/>
      <c r="O92" s="4">
        <v>1.5</v>
      </c>
      <c r="P92" s="4">
        <v>1.9849759281050301</v>
      </c>
    </row>
    <row r="93" spans="1:16" x14ac:dyDescent="0.3">
      <c r="A93" s="12" t="str">
        <f>IFERROR(IF(D93="","",C93&amp;"_"&amp;
IF($D93=외피index!$B$3, 외피index!$C$3&amp;"_"&amp;COUNTIFS(D$2:$D93,외피index!$B$3,C$2:$C93,C93),
IF($D93=외피index!$B$4, 외피index!$C$4&amp;"_"&amp;COUNTIFS(D$2:$D93,외피index!$B$4,C$2:$C93,C93),
IF($D93=외피index!$B$5, 외피index!$C$5&amp;"_"&amp;COUNTIFS(D$2:$D93,외피index!$B$5,C$2:$C93,C93),
IF($D93=외피index!$B$6, 외피index!$C$6&amp;"_"&amp;COUNTIFS(D$2:$D93,외피index!$B$6,C$2:$C93,C93),
IF($D93=외피index!$B$7, 외피index!$C$7&amp;"_"&amp;COUNTIFS(D$2:$D93,외피index!$B$7,C$2:$C93,C93),
IF($D93=외피index!$B$8, 외피index!$C$8&amp;"_"&amp;COUNTIFS(D$2:$D93,외피index!$B$8,C$2:$C93,C93),
IF($D93=외피index!$B$9, 외피index!$C$9&amp;"_"&amp;COUNTIFS(D$2:$D93,외피index!$B$9,C$2:$C93,C93),
IF($D93=외피index!$B$10, 외피index!$C$10&amp;"_"&amp;COUNTIFS(D$2:$D93,외피index!$B$10,C$2:$C93,C93), 0))))))))),"")</f>
        <v>3F_Zone015_WIN_2</v>
      </c>
      <c r="B93" s="13" t="s">
        <v>35</v>
      </c>
      <c r="C93" s="13" t="s">
        <v>22</v>
      </c>
      <c r="D93" s="13" t="s">
        <v>48</v>
      </c>
      <c r="E93" s="4"/>
      <c r="F93" s="3">
        <v>1.9500746726989699</v>
      </c>
      <c r="G93" s="4"/>
      <c r="H93" s="13" t="s">
        <v>46</v>
      </c>
      <c r="I93" s="3">
        <v>90</v>
      </c>
      <c r="J93" s="4">
        <v>0</v>
      </c>
      <c r="K93" s="4">
        <v>0</v>
      </c>
      <c r="L93" s="4">
        <v>0</v>
      </c>
      <c r="M93" s="4">
        <v>9.16114902496337</v>
      </c>
      <c r="N93" s="4"/>
      <c r="O93" s="4">
        <v>1.5</v>
      </c>
      <c r="P93" s="4">
        <v>1.9849759281050301</v>
      </c>
    </row>
    <row r="94" spans="1:16" x14ac:dyDescent="0.3">
      <c r="A94" s="12" t="str">
        <f>IFERROR(IF(D94="","",C94&amp;"_"&amp;
IF($D94=외피index!$B$3, 외피index!$C$3&amp;"_"&amp;COUNTIFS(D$2:$D94,외피index!$B$3,C$2:$C94,C94),
IF($D94=외피index!$B$4, 외피index!$C$4&amp;"_"&amp;COUNTIFS(D$2:$D94,외피index!$B$4,C$2:$C94,C94),
IF($D94=외피index!$B$5, 외피index!$C$5&amp;"_"&amp;COUNTIFS(D$2:$D94,외피index!$B$5,C$2:$C94,C94),
IF($D94=외피index!$B$6, 외피index!$C$6&amp;"_"&amp;COUNTIFS(D$2:$D94,외피index!$B$6,C$2:$C94,C94),
IF($D94=외피index!$B$7, 외피index!$C$7&amp;"_"&amp;COUNTIFS(D$2:$D94,외피index!$B$7,C$2:$C94,C94),
IF($D94=외피index!$B$8, 외피index!$C$8&amp;"_"&amp;COUNTIFS(D$2:$D94,외피index!$B$8,C$2:$C94,C94),
IF($D94=외피index!$B$9, 외피index!$C$9&amp;"_"&amp;COUNTIFS(D$2:$D94,외피index!$B$9,C$2:$C94,C94),
IF($D94=외피index!$B$10, 외피index!$C$10&amp;"_"&amp;COUNTIFS(D$2:$D94,외피index!$B$10,C$2:$C94,C94), 0))))))))),"")</f>
        <v>1F_Zone003_DR_1</v>
      </c>
      <c r="B94" s="13" t="s">
        <v>37</v>
      </c>
      <c r="C94" s="13" t="s">
        <v>39</v>
      </c>
      <c r="D94" s="13" t="s">
        <v>51</v>
      </c>
      <c r="E94" s="4"/>
      <c r="F94" s="3">
        <v>1.6361950529099001</v>
      </c>
      <c r="G94" s="4"/>
      <c r="H94" s="13" t="s">
        <v>46</v>
      </c>
      <c r="I94" s="3">
        <v>90</v>
      </c>
      <c r="J94" s="4"/>
      <c r="K94" s="4"/>
      <c r="L94" s="4"/>
      <c r="M94" s="4"/>
      <c r="N94" s="4"/>
      <c r="O94" s="4">
        <v>0.80999755859375</v>
      </c>
      <c r="P94" s="4">
        <v>2.1763492292991402</v>
      </c>
    </row>
    <row r="95" spans="1:16" x14ac:dyDescent="0.3">
      <c r="A95" s="12" t="str">
        <f>IFERROR(IF(D95="","",C95&amp;"_"&amp;
IF($D95=외피index!$B$3, 외피index!$C$3&amp;"_"&amp;COUNTIFS(D$2:$D95,외피index!$B$3,C$2:$C95,C95),
IF($D95=외피index!$B$4, 외피index!$C$4&amp;"_"&amp;COUNTIFS(D$2:$D95,외피index!$B$4,C$2:$C95,C95),
IF($D95=외피index!$B$5, 외피index!$C$5&amp;"_"&amp;COUNTIFS(D$2:$D95,외피index!$B$5,C$2:$C95,C95),
IF($D95=외피index!$B$6, 외피index!$C$6&amp;"_"&amp;COUNTIFS(D$2:$D95,외피index!$B$6,C$2:$C95,C95),
IF($D95=외피index!$B$7, 외피index!$C$7&amp;"_"&amp;COUNTIFS(D$2:$D95,외피index!$B$7,C$2:$C95,C95),
IF($D95=외피index!$B$8, 외피index!$C$8&amp;"_"&amp;COUNTIFS(D$2:$D95,외피index!$B$8,C$2:$C95,C95),
IF($D95=외피index!$B$9, 외피index!$C$9&amp;"_"&amp;COUNTIFS(D$2:$D95,외피index!$B$9,C$2:$C95,C95),
IF($D95=외피index!$B$10, 외피index!$C$10&amp;"_"&amp;COUNTIFS(D$2:$D95,외피index!$B$10,C$2:$C95,C95), 0))))))))),"")</f>
        <v>1F_Zone003_WIN_1</v>
      </c>
      <c r="B95" s="13" t="s">
        <v>37</v>
      </c>
      <c r="C95" s="13" t="s">
        <v>39</v>
      </c>
      <c r="D95" s="13" t="s">
        <v>48</v>
      </c>
      <c r="E95" s="4"/>
      <c r="F95" s="3">
        <v>3.6639087258336098</v>
      </c>
      <c r="G95" s="4"/>
      <c r="H95" s="13" t="s">
        <v>46</v>
      </c>
      <c r="I95" s="3">
        <v>90</v>
      </c>
      <c r="J95" s="4">
        <v>0</v>
      </c>
      <c r="K95" s="4">
        <v>0</v>
      </c>
      <c r="L95" s="4">
        <v>7.1000061035156197</v>
      </c>
      <c r="M95" s="4">
        <v>0</v>
      </c>
      <c r="N95" s="4"/>
      <c r="O95" s="4">
        <v>1.77000427246093</v>
      </c>
      <c r="P95" s="4">
        <v>2.7235665676012299</v>
      </c>
    </row>
    <row r="96" spans="1:16" x14ac:dyDescent="0.3">
      <c r="A96" s="12" t="str">
        <f>IFERROR(IF(D96="","",C96&amp;"_"&amp;
IF($D96=외피index!$B$3, 외피index!$C$3&amp;"_"&amp;COUNTIFS(D$2:$D96,외피index!$B$3,C$2:$C96,C96),
IF($D96=외피index!$B$4, 외피index!$C$4&amp;"_"&amp;COUNTIFS(D$2:$D96,외피index!$B$4,C$2:$C96,C96),
IF($D96=외피index!$B$5, 외피index!$C$5&amp;"_"&amp;COUNTIFS(D$2:$D96,외피index!$B$5,C$2:$C96,C96),
IF($D96=외피index!$B$6, 외피index!$C$6&amp;"_"&amp;COUNTIFS(D$2:$D96,외피index!$B$6,C$2:$C96,C96),
IF($D96=외피index!$B$7, 외피index!$C$7&amp;"_"&amp;COUNTIFS(D$2:$D96,외피index!$B$7,C$2:$C96,C96),
IF($D96=외피index!$B$8, 외피index!$C$8&amp;"_"&amp;COUNTIFS(D$2:$D96,외피index!$B$8,C$2:$C96,C96),
IF($D96=외피index!$B$9, 외피index!$C$9&amp;"_"&amp;COUNTIFS(D$2:$D96,외피index!$B$9,C$2:$C96,C96),
IF($D96=외피index!$B$10, 외피index!$C$10&amp;"_"&amp;COUNTIFS(D$2:$D96,외피index!$B$10,C$2:$C96,C96), 0))))))))),"")</f>
        <v>1F_Zone002_WIN_1</v>
      </c>
      <c r="B96" s="13" t="s">
        <v>37</v>
      </c>
      <c r="C96" s="13" t="s">
        <v>38</v>
      </c>
      <c r="D96" s="13" t="s">
        <v>48</v>
      </c>
      <c r="E96" s="4"/>
      <c r="F96" s="3">
        <v>3.3654040809633399</v>
      </c>
      <c r="G96" s="4"/>
      <c r="H96" s="13" t="s">
        <v>46</v>
      </c>
      <c r="I96" s="3">
        <v>90</v>
      </c>
      <c r="J96" s="4">
        <v>0</v>
      </c>
      <c r="K96" s="4">
        <v>0</v>
      </c>
      <c r="L96" s="4">
        <v>7.1000061035156197</v>
      </c>
      <c r="M96" s="4">
        <v>0</v>
      </c>
      <c r="N96" s="4"/>
      <c r="O96" s="4">
        <v>1.58000183105468</v>
      </c>
      <c r="P96" s="4">
        <v>2.6520381357843399</v>
      </c>
    </row>
    <row r="97" spans="1:16" x14ac:dyDescent="0.3">
      <c r="A97" s="12" t="str">
        <f>IFERROR(IF(D97="","",C97&amp;"_"&amp;
IF($D97=외피index!$B$3, 외피index!$C$3&amp;"_"&amp;COUNTIFS(D$2:$D97,외피index!$B$3,C$2:$C97,C97),
IF($D97=외피index!$B$4, 외피index!$C$4&amp;"_"&amp;COUNTIFS(D$2:$D97,외피index!$B$4,C$2:$C97,C97),
IF($D97=외피index!$B$5, 외피index!$C$5&amp;"_"&amp;COUNTIFS(D$2:$D97,외피index!$B$5,C$2:$C97,C97),
IF($D97=외피index!$B$6, 외피index!$C$6&amp;"_"&amp;COUNTIFS(D$2:$D97,외피index!$B$6,C$2:$C97,C97),
IF($D97=외피index!$B$7, 외피index!$C$7&amp;"_"&amp;COUNTIFS(D$2:$D97,외피index!$B$7,C$2:$C97,C97),
IF($D97=외피index!$B$8, 외피index!$C$8&amp;"_"&amp;COUNTIFS(D$2:$D97,외피index!$B$8,C$2:$C97,C97),
IF($D97=외피index!$B$9, 외피index!$C$9&amp;"_"&amp;COUNTIFS(D$2:$D97,외피index!$B$9,C$2:$C97,C97),
IF($D97=외피index!$B$10, 외피index!$C$10&amp;"_"&amp;COUNTIFS(D$2:$D97,외피index!$B$10,C$2:$C97,C97), 0))))))))),"")</f>
        <v>3F_Zone020_IW_1</v>
      </c>
      <c r="B97" s="13" t="s">
        <v>35</v>
      </c>
      <c r="C97" s="13" t="s">
        <v>33</v>
      </c>
      <c r="D97" s="13" t="s">
        <v>45</v>
      </c>
      <c r="E97" s="4"/>
      <c r="F97" s="3">
        <v>7.6799811553937598</v>
      </c>
      <c r="G97" s="4" t="s">
        <v>31</v>
      </c>
      <c r="H97" s="13" t="s">
        <v>52</v>
      </c>
      <c r="I97" s="3">
        <v>90</v>
      </c>
      <c r="J97" s="4"/>
      <c r="K97" s="4"/>
      <c r="L97" s="4"/>
      <c r="M97" s="4"/>
      <c r="N97" s="4">
        <v>2.3999938964843701</v>
      </c>
      <c r="O97" s="4"/>
      <c r="P97" s="4"/>
    </row>
    <row r="98" spans="1:16" x14ac:dyDescent="0.3">
      <c r="A98" s="12" t="str">
        <f>IFERROR(IF(D98="","",C98&amp;"_"&amp;
IF($D98=외피index!$B$3, 외피index!$C$3&amp;"_"&amp;COUNTIFS(D$2:$D98,외피index!$B$3,C$2:$C98,C98),
IF($D98=외피index!$B$4, 외피index!$C$4&amp;"_"&amp;COUNTIFS(D$2:$D98,외피index!$B$4,C$2:$C98,C98),
IF($D98=외피index!$B$5, 외피index!$C$5&amp;"_"&amp;COUNTIFS(D$2:$D98,외피index!$B$5,C$2:$C98,C98),
IF($D98=외피index!$B$6, 외피index!$C$6&amp;"_"&amp;COUNTIFS(D$2:$D98,외피index!$B$6,C$2:$C98,C98),
IF($D98=외피index!$B$7, 외피index!$C$7&amp;"_"&amp;COUNTIFS(D$2:$D98,외피index!$B$7,C$2:$C98,C98),
IF($D98=외피index!$B$8, 외피index!$C$8&amp;"_"&amp;COUNTIFS(D$2:$D98,외피index!$B$8,C$2:$C98,C98),
IF($D98=외피index!$B$9, 외피index!$C$9&amp;"_"&amp;COUNTIFS(D$2:$D98,외피index!$B$9,C$2:$C98,C98),
IF($D98=외피index!$B$10, 외피index!$C$10&amp;"_"&amp;COUNTIFS(D$2:$D98,외피index!$B$10,C$2:$C98,C98), 0))))))))),"")</f>
        <v>2F_Zone009_IW_2</v>
      </c>
      <c r="B98" s="13" t="s">
        <v>16</v>
      </c>
      <c r="C98" s="13" t="s">
        <v>27</v>
      </c>
      <c r="D98" s="13" t="s">
        <v>45</v>
      </c>
      <c r="E98" s="4"/>
      <c r="F98" s="3">
        <v>16.639989242554201</v>
      </c>
      <c r="G98" s="4" t="s">
        <v>17</v>
      </c>
      <c r="H98" s="13" t="s">
        <v>52</v>
      </c>
      <c r="I98" s="3">
        <v>90</v>
      </c>
      <c r="J98" s="4"/>
      <c r="K98" s="4"/>
      <c r="L98" s="4"/>
      <c r="M98" s="4"/>
      <c r="N98" s="4">
        <v>5.1999969482421804</v>
      </c>
      <c r="O98" s="4"/>
      <c r="P98" s="4"/>
    </row>
    <row r="99" spans="1:16" x14ac:dyDescent="0.3">
      <c r="A99" s="12" t="str">
        <f>IFERROR(IF(D99="","",C99&amp;"_"&amp;
IF($D99=외피index!$B$3, 외피index!$C$3&amp;"_"&amp;COUNTIFS(D$2:$D99,외피index!$B$3,C$2:$C99,C99),
IF($D99=외피index!$B$4, 외피index!$C$4&amp;"_"&amp;COUNTIFS(D$2:$D99,외피index!$B$4,C$2:$C99,C99),
IF($D99=외피index!$B$5, 외피index!$C$5&amp;"_"&amp;COUNTIFS(D$2:$D99,외피index!$B$5,C$2:$C99,C99),
IF($D99=외피index!$B$6, 외피index!$C$6&amp;"_"&amp;COUNTIFS(D$2:$D99,외피index!$B$6,C$2:$C99,C99),
IF($D99=외피index!$B$7, 외피index!$C$7&amp;"_"&amp;COUNTIFS(D$2:$D99,외피index!$B$7,C$2:$C99,C99),
IF($D99=외피index!$B$8, 외피index!$C$8&amp;"_"&amp;COUNTIFS(D$2:$D99,외피index!$B$8,C$2:$C99,C99),
IF($D99=외피index!$B$9, 외피index!$C$9&amp;"_"&amp;COUNTIFS(D$2:$D99,외피index!$B$9,C$2:$C99,C99),
IF($D99=외피index!$B$10, 외피index!$C$10&amp;"_"&amp;COUNTIFS(D$2:$D99,외피index!$B$10,C$2:$C99,C99), 0))))))))),"")</f>
        <v>3F_Zone015_IW_1</v>
      </c>
      <c r="B99" s="13" t="s">
        <v>35</v>
      </c>
      <c r="C99" s="13" t="s">
        <v>22</v>
      </c>
      <c r="D99" s="13" t="s">
        <v>45</v>
      </c>
      <c r="E99" s="4"/>
      <c r="F99" s="3">
        <v>9.9199715900394896</v>
      </c>
      <c r="G99" s="4" t="s">
        <v>29</v>
      </c>
      <c r="H99" s="13" t="s">
        <v>52</v>
      </c>
      <c r="I99" s="3">
        <v>90</v>
      </c>
      <c r="J99" s="4"/>
      <c r="K99" s="4"/>
      <c r="L99" s="4"/>
      <c r="M99" s="4"/>
      <c r="N99" s="4">
        <v>3.0999908447265598</v>
      </c>
      <c r="O99" s="4"/>
      <c r="P99" s="4"/>
    </row>
    <row r="100" spans="1:16" x14ac:dyDescent="0.3">
      <c r="A100" s="12" t="str">
        <f>IFERROR(IF(D100="","",C100&amp;"_"&amp;
IF($D100=외피index!$B$3, 외피index!$C$3&amp;"_"&amp;COUNTIFS(D$2:$D100,외피index!$B$3,C$2:$C100,C100),
IF($D100=외피index!$B$4, 외피index!$C$4&amp;"_"&amp;COUNTIFS(D$2:$D100,외피index!$B$4,C$2:$C100,C100),
IF($D100=외피index!$B$5, 외피index!$C$5&amp;"_"&amp;COUNTIFS(D$2:$D100,외피index!$B$5,C$2:$C100,C100),
IF($D100=외피index!$B$6, 외피index!$C$6&amp;"_"&amp;COUNTIFS(D$2:$D100,외피index!$B$6,C$2:$C100,C100),
IF($D100=외피index!$B$7, 외피index!$C$7&amp;"_"&amp;COUNTIFS(D$2:$D100,외피index!$B$7,C$2:$C100,C100),
IF($D100=외피index!$B$8, 외피index!$C$8&amp;"_"&amp;COUNTIFS(D$2:$D100,외피index!$B$8,C$2:$C100,C100),
IF($D100=외피index!$B$9, 외피index!$C$9&amp;"_"&amp;COUNTIFS(D$2:$D100,외피index!$B$9,C$2:$C100,C100),
IF($D100=외피index!$B$10, 외피index!$C$10&amp;"_"&amp;COUNTIFS(D$2:$D100,외피index!$B$10,C$2:$C100,C100), 0))))))))),"")</f>
        <v>2F_Zone012_IW_2</v>
      </c>
      <c r="B100" s="13" t="s">
        <v>16</v>
      </c>
      <c r="C100" s="13" t="s">
        <v>30</v>
      </c>
      <c r="D100" s="13" t="s">
        <v>45</v>
      </c>
      <c r="E100" s="4"/>
      <c r="F100" s="3">
        <v>8.3200190353381895</v>
      </c>
      <c r="G100" s="4" t="s">
        <v>23</v>
      </c>
      <c r="H100" s="13" t="s">
        <v>52</v>
      </c>
      <c r="I100" s="3">
        <v>90</v>
      </c>
      <c r="J100" s="4"/>
      <c r="K100" s="4"/>
      <c r="L100" s="4"/>
      <c r="M100" s="4"/>
      <c r="N100" s="4">
        <v>2.6000061035156201</v>
      </c>
      <c r="O100" s="4"/>
      <c r="P100" s="4"/>
    </row>
    <row r="101" spans="1:16" x14ac:dyDescent="0.3">
      <c r="A101" s="12" t="str">
        <f>IFERROR(IF(D101="","",C101&amp;"_"&amp;
IF($D101=외피index!$B$3, 외피index!$C$3&amp;"_"&amp;COUNTIFS(D$2:$D101,외피index!$B$3,C$2:$C101,C101),
IF($D101=외피index!$B$4, 외피index!$C$4&amp;"_"&amp;COUNTIFS(D$2:$D101,외피index!$B$4,C$2:$C101,C101),
IF($D101=외피index!$B$5, 외피index!$C$5&amp;"_"&amp;COUNTIFS(D$2:$D101,외피index!$B$5,C$2:$C101,C101),
IF($D101=외피index!$B$6, 외피index!$C$6&amp;"_"&amp;COUNTIFS(D$2:$D101,외피index!$B$6,C$2:$C101,C101),
IF($D101=외피index!$B$7, 외피index!$C$7&amp;"_"&amp;COUNTIFS(D$2:$D101,외피index!$B$7,C$2:$C101,C101),
IF($D101=외피index!$B$8, 외피index!$C$8&amp;"_"&amp;COUNTIFS(D$2:$D101,외피index!$B$8,C$2:$C101,C101),
IF($D101=외피index!$B$9, 외피index!$C$9&amp;"_"&amp;COUNTIFS(D$2:$D101,외피index!$B$9,C$2:$C101,C101),
IF($D101=외피index!$B$10, 외피index!$C$10&amp;"_"&amp;COUNTIFS(D$2:$D101,외피index!$B$10,C$2:$C101,C101), 0))))))))),"")</f>
        <v>3F_Zone015_IW_2</v>
      </c>
      <c r="B101" s="13" t="s">
        <v>35</v>
      </c>
      <c r="C101" s="13" t="s">
        <v>22</v>
      </c>
      <c r="D101" s="13" t="s">
        <v>45</v>
      </c>
      <c r="E101" s="4"/>
      <c r="F101" s="3">
        <v>6.7200201320665602</v>
      </c>
      <c r="G101" s="4" t="s">
        <v>26</v>
      </c>
      <c r="H101" s="13" t="s">
        <v>52</v>
      </c>
      <c r="I101" s="3">
        <v>90</v>
      </c>
      <c r="J101" s="4"/>
      <c r="K101" s="4"/>
      <c r="L101" s="4"/>
      <c r="M101" s="4"/>
      <c r="N101" s="4">
        <v>2.1000061035156201</v>
      </c>
      <c r="O101" s="4"/>
      <c r="P101" s="4"/>
    </row>
    <row r="102" spans="1:16" x14ac:dyDescent="0.3">
      <c r="A102" s="12" t="str">
        <f>IFERROR(IF(D102="","",C102&amp;"_"&amp;
IF($D102=외피index!$B$3, 외피index!$C$3&amp;"_"&amp;COUNTIFS(D$2:$D102,외피index!$B$3,C$2:$C102,C102),
IF($D102=외피index!$B$4, 외피index!$C$4&amp;"_"&amp;COUNTIFS(D$2:$D102,외피index!$B$4,C$2:$C102,C102),
IF($D102=외피index!$B$5, 외피index!$C$5&amp;"_"&amp;COUNTIFS(D$2:$D102,외피index!$B$5,C$2:$C102,C102),
IF($D102=외피index!$B$6, 외피index!$C$6&amp;"_"&amp;COUNTIFS(D$2:$D102,외피index!$B$6,C$2:$C102,C102),
IF($D102=외피index!$B$7, 외피index!$C$7&amp;"_"&amp;COUNTIFS(D$2:$D102,외피index!$B$7,C$2:$C102,C102),
IF($D102=외피index!$B$8, 외피index!$C$8&amp;"_"&amp;COUNTIFS(D$2:$D102,외피index!$B$8,C$2:$C102,C102),
IF($D102=외피index!$B$9, 외피index!$C$9&amp;"_"&amp;COUNTIFS(D$2:$D102,외피index!$B$9,C$2:$C102,C102),
IF($D102=외피index!$B$10, 외피index!$C$10&amp;"_"&amp;COUNTIFS(D$2:$D102,외피index!$B$10,C$2:$C102,C102), 0))))))))),"")</f>
        <v>3F_Zone019_IW_2</v>
      </c>
      <c r="B102" s="13" t="s">
        <v>35</v>
      </c>
      <c r="C102" s="13" t="s">
        <v>31</v>
      </c>
      <c r="D102" s="13" t="s">
        <v>45</v>
      </c>
      <c r="E102" s="4"/>
      <c r="F102" s="3">
        <v>3.3600100660332801</v>
      </c>
      <c r="G102" s="4" t="s">
        <v>26</v>
      </c>
      <c r="H102" s="13" t="s">
        <v>52</v>
      </c>
      <c r="I102" s="3">
        <v>90</v>
      </c>
      <c r="J102" s="4"/>
      <c r="K102" s="4"/>
      <c r="L102" s="4"/>
      <c r="M102" s="4"/>
      <c r="N102" s="4">
        <v>1.0500030517578101</v>
      </c>
      <c r="O102" s="4"/>
      <c r="P102" s="4"/>
    </row>
    <row r="103" spans="1:16" x14ac:dyDescent="0.3">
      <c r="A103" s="12" t="str">
        <f>IFERROR(IF(D103="","",C103&amp;"_"&amp;
IF($D103=외피index!$B$3, 외피index!$C$3&amp;"_"&amp;COUNTIFS(D$2:$D103,외피index!$B$3,C$2:$C103,C103),
IF($D103=외피index!$B$4, 외피index!$C$4&amp;"_"&amp;COUNTIFS(D$2:$D103,외피index!$B$4,C$2:$C103,C103),
IF($D103=외피index!$B$5, 외피index!$C$5&amp;"_"&amp;COUNTIFS(D$2:$D103,외피index!$B$5,C$2:$C103,C103),
IF($D103=외피index!$B$6, 외피index!$C$6&amp;"_"&amp;COUNTIFS(D$2:$D103,외피index!$B$6,C$2:$C103,C103),
IF($D103=외피index!$B$7, 외피index!$C$7&amp;"_"&amp;COUNTIFS(D$2:$D103,외피index!$B$7,C$2:$C103,C103),
IF($D103=외피index!$B$8, 외피index!$C$8&amp;"_"&amp;COUNTIFS(D$2:$D103,외피index!$B$8,C$2:$C103,C103),
IF($D103=외피index!$B$9, 외피index!$C$9&amp;"_"&amp;COUNTIFS(D$2:$D103,외피index!$B$9,C$2:$C103,C103),
IF($D103=외피index!$B$10, 외피index!$C$10&amp;"_"&amp;COUNTIFS(D$2:$D103,외피index!$B$10,C$2:$C103,C103), 0))))))))),"")</f>
        <v>2F_Zone012_IW_3</v>
      </c>
      <c r="B103" s="13" t="s">
        <v>16</v>
      </c>
      <c r="C103" s="13" t="s">
        <v>30</v>
      </c>
      <c r="D103" s="13" t="s">
        <v>45</v>
      </c>
      <c r="E103" s="4"/>
      <c r="F103" s="3">
        <v>3.3600095653528101</v>
      </c>
      <c r="G103" s="4" t="s">
        <v>25</v>
      </c>
      <c r="H103" s="13" t="s">
        <v>52</v>
      </c>
      <c r="I103" s="3">
        <v>90</v>
      </c>
      <c r="J103" s="4"/>
      <c r="K103" s="4"/>
      <c r="L103" s="4"/>
      <c r="M103" s="4"/>
      <c r="N103" s="4">
        <v>1.0500030517578101</v>
      </c>
      <c r="O103" s="4"/>
      <c r="P103" s="4"/>
    </row>
    <row r="104" spans="1:16" x14ac:dyDescent="0.3">
      <c r="A104" s="12" t="str">
        <f>IFERROR(IF(D104="","",C104&amp;"_"&amp;
IF($D104=외피index!$B$3, 외피index!$C$3&amp;"_"&amp;COUNTIFS(D$2:$D104,외피index!$B$3,C$2:$C104,C104),
IF($D104=외피index!$B$4, 외피index!$C$4&amp;"_"&amp;COUNTIFS(D$2:$D104,외피index!$B$4,C$2:$C104,C104),
IF($D104=외피index!$B$5, 외피index!$C$5&amp;"_"&amp;COUNTIFS(D$2:$D104,외피index!$B$5,C$2:$C104,C104),
IF($D104=외피index!$B$6, 외피index!$C$6&amp;"_"&amp;COUNTIFS(D$2:$D104,외피index!$B$6,C$2:$C104,C104),
IF($D104=외피index!$B$7, 외피index!$C$7&amp;"_"&amp;COUNTIFS(D$2:$D104,외피index!$B$7,C$2:$C104,C104),
IF($D104=외피index!$B$8, 외피index!$C$8&amp;"_"&amp;COUNTIFS(D$2:$D104,외피index!$B$8,C$2:$C104,C104),
IF($D104=외피index!$B$9, 외피index!$C$9&amp;"_"&amp;COUNTIFS(D$2:$D104,외피index!$B$9,C$2:$C104,C104),
IF($D104=외피index!$B$10, 외피index!$C$10&amp;"_"&amp;COUNTIFS(D$2:$D104,외피index!$B$10,C$2:$C104,C104), 0))))))))),"")</f>
        <v>2F_Zone007_IW_1</v>
      </c>
      <c r="B104" s="13" t="s">
        <v>16</v>
      </c>
      <c r="C104" s="13" t="s">
        <v>21</v>
      </c>
      <c r="D104" s="13" t="s">
        <v>45</v>
      </c>
      <c r="E104" s="4"/>
      <c r="F104" s="3">
        <v>16.639989242554201</v>
      </c>
      <c r="G104" s="4" t="s">
        <v>27</v>
      </c>
      <c r="H104" s="13" t="s">
        <v>52</v>
      </c>
      <c r="I104" s="3">
        <v>90</v>
      </c>
      <c r="J104" s="4"/>
      <c r="K104" s="4"/>
      <c r="L104" s="4"/>
      <c r="M104" s="4"/>
      <c r="N104" s="4">
        <v>5.1999969482421804</v>
      </c>
      <c r="O104" s="4"/>
      <c r="P104" s="4"/>
    </row>
    <row r="105" spans="1:16" x14ac:dyDescent="0.3">
      <c r="A105" s="12" t="str">
        <f>IFERROR(IF(D105="","",C105&amp;"_"&amp;
IF($D105=외피index!$B$3, 외피index!$C$3&amp;"_"&amp;COUNTIFS(D$2:$D105,외피index!$B$3,C$2:$C105,C105),
IF($D105=외피index!$B$4, 외피index!$C$4&amp;"_"&amp;COUNTIFS(D$2:$D105,외피index!$B$4,C$2:$C105,C105),
IF($D105=외피index!$B$5, 외피index!$C$5&amp;"_"&amp;COUNTIFS(D$2:$D105,외피index!$B$5,C$2:$C105,C105),
IF($D105=외피index!$B$6, 외피index!$C$6&amp;"_"&amp;COUNTIFS(D$2:$D105,외피index!$B$6,C$2:$C105,C105),
IF($D105=외피index!$B$7, 외피index!$C$7&amp;"_"&amp;COUNTIFS(D$2:$D105,외피index!$B$7,C$2:$C105,C105),
IF($D105=외피index!$B$8, 외피index!$C$8&amp;"_"&amp;COUNTIFS(D$2:$D105,외피index!$B$8,C$2:$C105,C105),
IF($D105=외피index!$B$9, 외피index!$C$9&amp;"_"&amp;COUNTIFS(D$2:$D105,외피index!$B$9,C$2:$C105,C105),
IF($D105=외피index!$B$10, 외피index!$C$10&amp;"_"&amp;COUNTIFS(D$2:$D105,외피index!$B$10,C$2:$C105,C105), 0))))))))),"")</f>
        <v>3F_Zone019_IW_3</v>
      </c>
      <c r="B105" s="13" t="s">
        <v>35</v>
      </c>
      <c r="C105" s="13" t="s">
        <v>31</v>
      </c>
      <c r="D105" s="13" t="s">
        <v>45</v>
      </c>
      <c r="E105" s="4"/>
      <c r="F105" s="3">
        <v>4.3199710893604699</v>
      </c>
      <c r="G105" s="4" t="s">
        <v>34</v>
      </c>
      <c r="H105" s="13" t="s">
        <v>52</v>
      </c>
      <c r="I105" s="3">
        <v>90</v>
      </c>
      <c r="J105" s="4"/>
      <c r="K105" s="4"/>
      <c r="L105" s="4"/>
      <c r="M105" s="4"/>
      <c r="N105" s="4">
        <v>1.3499908447265601</v>
      </c>
      <c r="O105" s="4"/>
      <c r="P105" s="4"/>
    </row>
    <row r="106" spans="1:16" x14ac:dyDescent="0.3">
      <c r="A106" s="12" t="str">
        <f>IFERROR(IF(D106="","",C106&amp;"_"&amp;
IF($D106=외피index!$B$3, 외피index!$C$3&amp;"_"&amp;COUNTIFS(D$2:$D106,외피index!$B$3,C$2:$C106,C106),
IF($D106=외피index!$B$4, 외피index!$C$4&amp;"_"&amp;COUNTIFS(D$2:$D106,외피index!$B$4,C$2:$C106,C106),
IF($D106=외피index!$B$5, 외피index!$C$5&amp;"_"&amp;COUNTIFS(D$2:$D106,외피index!$B$5,C$2:$C106,C106),
IF($D106=외피index!$B$6, 외피index!$C$6&amp;"_"&amp;COUNTIFS(D$2:$D106,외피index!$B$6,C$2:$C106,C106),
IF($D106=외피index!$B$7, 외피index!$C$7&amp;"_"&amp;COUNTIFS(D$2:$D106,외피index!$B$7,C$2:$C106,C106),
IF($D106=외피index!$B$8, 외피index!$C$8&amp;"_"&amp;COUNTIFS(D$2:$D106,외피index!$B$8,C$2:$C106,C106),
IF($D106=외피index!$B$9, 외피index!$C$9&amp;"_"&amp;COUNTIFS(D$2:$D106,외피index!$B$9,C$2:$C106,C106),
IF($D106=외피index!$B$10, 외피index!$C$10&amp;"_"&amp;COUNTIFS(D$2:$D106,외피index!$B$10,C$2:$C106,C106), 0))))))))),"")</f>
        <v>1F_Zone003_IW_1</v>
      </c>
      <c r="B106" s="13" t="s">
        <v>37</v>
      </c>
      <c r="C106" s="13" t="s">
        <v>39</v>
      </c>
      <c r="D106" s="13" t="s">
        <v>45</v>
      </c>
      <c r="E106" s="4"/>
      <c r="F106" s="3">
        <v>11.440027103424599</v>
      </c>
      <c r="G106" s="4" t="s">
        <v>40</v>
      </c>
      <c r="H106" s="13" t="s">
        <v>52</v>
      </c>
      <c r="I106" s="3">
        <v>90</v>
      </c>
      <c r="J106" s="4"/>
      <c r="K106" s="4"/>
      <c r="L106" s="4"/>
      <c r="M106" s="4"/>
      <c r="N106" s="4">
        <v>2.6000061035156201</v>
      </c>
      <c r="O106" s="4"/>
      <c r="P106" s="4"/>
    </row>
    <row r="107" spans="1:16" x14ac:dyDescent="0.3">
      <c r="A107" s="12" t="str">
        <f>IFERROR(IF(D107="","",C107&amp;"_"&amp;
IF($D107=외피index!$B$3, 외피index!$C$3&amp;"_"&amp;COUNTIFS(D$2:$D107,외피index!$B$3,C$2:$C107,C107),
IF($D107=외피index!$B$4, 외피index!$C$4&amp;"_"&amp;COUNTIFS(D$2:$D107,외피index!$B$4,C$2:$C107,C107),
IF($D107=외피index!$B$5, 외피index!$C$5&amp;"_"&amp;COUNTIFS(D$2:$D107,외피index!$B$5,C$2:$C107,C107),
IF($D107=외피index!$B$6, 외피index!$C$6&amp;"_"&amp;COUNTIFS(D$2:$D107,외피index!$B$6,C$2:$C107,C107),
IF($D107=외피index!$B$7, 외피index!$C$7&amp;"_"&amp;COUNTIFS(D$2:$D107,외피index!$B$7,C$2:$C107,C107),
IF($D107=외피index!$B$8, 외피index!$C$8&amp;"_"&amp;COUNTIFS(D$2:$D107,외피index!$B$8,C$2:$C107,C107),
IF($D107=외피index!$B$9, 외피index!$C$9&amp;"_"&amp;COUNTIFS(D$2:$D107,외피index!$B$9,C$2:$C107,C107),
IF($D107=외피index!$B$10, 외피index!$C$10&amp;"_"&amp;COUNTIFS(D$2:$D107,외피index!$B$10,C$2:$C107,C107), 0))))))))),"")</f>
        <v>3F_Zone017_IW_2</v>
      </c>
      <c r="B107" s="13" t="s">
        <v>35</v>
      </c>
      <c r="C107" s="13" t="s">
        <v>29</v>
      </c>
      <c r="D107" s="13" t="s">
        <v>45</v>
      </c>
      <c r="E107" s="4"/>
      <c r="F107" s="3">
        <v>9.9199715900394896</v>
      </c>
      <c r="G107" s="4" t="s">
        <v>19</v>
      </c>
      <c r="H107" s="13" t="s">
        <v>52</v>
      </c>
      <c r="I107" s="3">
        <v>90</v>
      </c>
      <c r="J107" s="4"/>
      <c r="K107" s="4"/>
      <c r="L107" s="4"/>
      <c r="M107" s="4"/>
      <c r="N107" s="4">
        <v>3.0999908447265598</v>
      </c>
      <c r="O107" s="4"/>
      <c r="P107" s="4"/>
    </row>
    <row r="108" spans="1:16" x14ac:dyDescent="0.3">
      <c r="A108" s="12" t="str">
        <f>IFERROR(IF(D108="","",C108&amp;"_"&amp;
IF($D108=외피index!$B$3, 외피index!$C$3&amp;"_"&amp;COUNTIFS(D$2:$D108,외피index!$B$3,C$2:$C108,C108),
IF($D108=외피index!$B$4, 외피index!$C$4&amp;"_"&amp;COUNTIFS(D$2:$D108,외피index!$B$4,C$2:$C108,C108),
IF($D108=외피index!$B$5, 외피index!$C$5&amp;"_"&amp;COUNTIFS(D$2:$D108,외피index!$B$5,C$2:$C108,C108),
IF($D108=외피index!$B$6, 외피index!$C$6&amp;"_"&amp;COUNTIFS(D$2:$D108,외피index!$B$6,C$2:$C108,C108),
IF($D108=외피index!$B$7, 외피index!$C$7&amp;"_"&amp;COUNTIFS(D$2:$D108,외피index!$B$7,C$2:$C108,C108),
IF($D108=외피index!$B$8, 외피index!$C$8&amp;"_"&amp;COUNTIFS(D$2:$D108,외피index!$B$8,C$2:$C108,C108),
IF($D108=외피index!$B$9, 외피index!$C$9&amp;"_"&amp;COUNTIFS(D$2:$D108,외피index!$B$9,C$2:$C108,C108),
IF($D108=외피index!$B$10, 외피index!$C$10&amp;"_"&amp;COUNTIFS(D$2:$D108,외피index!$B$10,C$2:$C108,C108), 0))))))))),"")</f>
        <v>3F_Zone016_IW_4</v>
      </c>
      <c r="B108" s="13" t="s">
        <v>35</v>
      </c>
      <c r="C108" s="13" t="s">
        <v>26</v>
      </c>
      <c r="D108" s="13" t="s">
        <v>45</v>
      </c>
      <c r="E108" s="4"/>
      <c r="F108" s="3">
        <v>6.7200201320665602</v>
      </c>
      <c r="G108" s="4" t="s">
        <v>19</v>
      </c>
      <c r="H108" s="13" t="s">
        <v>52</v>
      </c>
      <c r="I108" s="3">
        <v>90</v>
      </c>
      <c r="J108" s="4"/>
      <c r="K108" s="4"/>
      <c r="L108" s="4"/>
      <c r="M108" s="4"/>
      <c r="N108" s="4">
        <v>2.1000061035156201</v>
      </c>
      <c r="O108" s="4"/>
      <c r="P108" s="4"/>
    </row>
    <row r="109" spans="1:16" x14ac:dyDescent="0.3">
      <c r="A109" s="12" t="str">
        <f>IFERROR(IF(D109="","",C109&amp;"_"&amp;
IF($D109=외피index!$B$3, 외피index!$C$3&amp;"_"&amp;COUNTIFS(D$2:$D109,외피index!$B$3,C$2:$C109,C109),
IF($D109=외피index!$B$4, 외피index!$C$4&amp;"_"&amp;COUNTIFS(D$2:$D109,외피index!$B$4,C$2:$C109,C109),
IF($D109=외피index!$B$5, 외피index!$C$5&amp;"_"&amp;COUNTIFS(D$2:$D109,외피index!$B$5,C$2:$C109,C109),
IF($D109=외피index!$B$6, 외피index!$C$6&amp;"_"&amp;COUNTIFS(D$2:$D109,외피index!$B$6,C$2:$C109,C109),
IF($D109=외피index!$B$7, 외피index!$C$7&amp;"_"&amp;COUNTIFS(D$2:$D109,외피index!$B$7,C$2:$C109,C109),
IF($D109=외피index!$B$8, 외피index!$C$8&amp;"_"&amp;COUNTIFS(D$2:$D109,외피index!$B$8,C$2:$C109,C109),
IF($D109=외피index!$B$9, 외피index!$C$9&amp;"_"&amp;COUNTIFS(D$2:$D109,외피index!$B$9,C$2:$C109,C109),
IF($D109=외피index!$B$10, 외피index!$C$10&amp;"_"&amp;COUNTIFS(D$2:$D109,외피index!$B$10,C$2:$C109,C109), 0))))))))),"")</f>
        <v>1F_Zone004_WL_1</v>
      </c>
      <c r="B109" s="13" t="s">
        <v>37</v>
      </c>
      <c r="C109" s="13" t="s">
        <v>40</v>
      </c>
      <c r="D109" s="13" t="s">
        <v>47</v>
      </c>
      <c r="E109" s="4"/>
      <c r="F109" s="3">
        <v>11.440027103424599</v>
      </c>
      <c r="G109" s="4"/>
      <c r="H109" s="13" t="s">
        <v>52</v>
      </c>
      <c r="I109" s="3">
        <v>90</v>
      </c>
      <c r="J109" s="4"/>
      <c r="K109" s="4"/>
      <c r="L109" s="4"/>
      <c r="M109" s="4"/>
      <c r="N109" s="4">
        <v>2.6000061035156201</v>
      </c>
      <c r="O109" s="4"/>
      <c r="P109" s="4"/>
    </row>
    <row r="110" spans="1:16" x14ac:dyDescent="0.3">
      <c r="A110" s="12" t="str">
        <f>IFERROR(IF(D110="","",C110&amp;"_"&amp;
IF($D110=외피index!$B$3, 외피index!$C$3&amp;"_"&amp;COUNTIFS(D$2:$D110,외피index!$B$3,C$2:$C110,C110),
IF($D110=외피index!$B$4, 외피index!$C$4&amp;"_"&amp;COUNTIFS(D$2:$D110,외피index!$B$4,C$2:$C110,C110),
IF($D110=외피index!$B$5, 외피index!$C$5&amp;"_"&amp;COUNTIFS(D$2:$D110,외피index!$B$5,C$2:$C110,C110),
IF($D110=외피index!$B$6, 외피index!$C$6&amp;"_"&amp;COUNTIFS(D$2:$D110,외피index!$B$6,C$2:$C110,C110),
IF($D110=외피index!$B$7, 외피index!$C$7&amp;"_"&amp;COUNTIFS(D$2:$D110,외피index!$B$7,C$2:$C110,C110),
IF($D110=외피index!$B$8, 외피index!$C$8&amp;"_"&amp;COUNTIFS(D$2:$D110,외피index!$B$8,C$2:$C110,C110),
IF($D110=외피index!$B$9, 외피index!$C$9&amp;"_"&amp;COUNTIFS(D$2:$D110,외피index!$B$9,C$2:$C110,C110),
IF($D110=외피index!$B$10, 외피index!$C$10&amp;"_"&amp;COUNTIFS(D$2:$D110,외피index!$B$10,C$2:$C110,C110), 0))))))))),"")</f>
        <v>1F_Zone003_WL_2</v>
      </c>
      <c r="B110" s="13" t="s">
        <v>37</v>
      </c>
      <c r="C110" s="13" t="s">
        <v>39</v>
      </c>
      <c r="D110" s="13" t="s">
        <v>47</v>
      </c>
      <c r="E110" s="4"/>
      <c r="F110" s="3">
        <v>8.1229510660159594</v>
      </c>
      <c r="G110" s="4"/>
      <c r="H110" s="13" t="s">
        <v>52</v>
      </c>
      <c r="I110" s="3">
        <v>90</v>
      </c>
      <c r="J110" s="4"/>
      <c r="K110" s="4"/>
      <c r="L110" s="4"/>
      <c r="M110" s="4"/>
      <c r="N110" s="4">
        <v>2.3999938964843701</v>
      </c>
      <c r="O110" s="4"/>
      <c r="P110" s="4"/>
    </row>
    <row r="111" spans="1:16" x14ac:dyDescent="0.3">
      <c r="A111" s="12" t="str">
        <f>IFERROR(IF(D111="","",C111&amp;"_"&amp;
IF($D111=외피index!$B$3, 외피index!$C$3&amp;"_"&amp;COUNTIFS(D$2:$D111,외피index!$B$3,C$2:$C111,C111),
IF($D111=외피index!$B$4, 외피index!$C$4&amp;"_"&amp;COUNTIFS(D$2:$D111,외피index!$B$4,C$2:$C111,C111),
IF($D111=외피index!$B$5, 외피index!$C$5&amp;"_"&amp;COUNTIFS(D$2:$D111,외피index!$B$5,C$2:$C111,C111),
IF($D111=외피index!$B$6, 외피index!$C$6&amp;"_"&amp;COUNTIFS(D$2:$D111,외피index!$B$6,C$2:$C111,C111),
IF($D111=외피index!$B$7, 외피index!$C$7&amp;"_"&amp;COUNTIFS(D$2:$D111,외피index!$B$7,C$2:$C111,C111),
IF($D111=외피index!$B$8, 외피index!$C$8&amp;"_"&amp;COUNTIFS(D$2:$D111,외피index!$B$8,C$2:$C111,C111),
IF($D111=외피index!$B$9, 외피index!$C$9&amp;"_"&amp;COUNTIFS(D$2:$D111,외피index!$B$9,C$2:$C111,C111),
IF($D111=외피index!$B$10, 외피index!$C$10&amp;"_"&amp;COUNTIFS(D$2:$D111,외피index!$B$10,C$2:$C111,C111), 0))))))))),"")</f>
        <v>2F_Zone011_WL_1</v>
      </c>
      <c r="B111" s="13" t="s">
        <v>16</v>
      </c>
      <c r="C111" s="13" t="s">
        <v>23</v>
      </c>
      <c r="D111" s="13" t="s">
        <v>47</v>
      </c>
      <c r="E111" s="4"/>
      <c r="F111" s="3">
        <v>8.3200190353381895</v>
      </c>
      <c r="G111" s="4"/>
      <c r="H111" s="13" t="s">
        <v>52</v>
      </c>
      <c r="I111" s="3">
        <v>90</v>
      </c>
      <c r="J111" s="4"/>
      <c r="K111" s="4"/>
      <c r="L111" s="4"/>
      <c r="M111" s="4"/>
      <c r="N111" s="4">
        <v>2.6000061035156201</v>
      </c>
      <c r="O111" s="4"/>
      <c r="P111" s="4"/>
    </row>
    <row r="112" spans="1:16" x14ac:dyDescent="0.3">
      <c r="A112" s="12" t="str">
        <f>IFERROR(IF(D112="","",C112&amp;"_"&amp;
IF($D112=외피index!$B$3, 외피index!$C$3&amp;"_"&amp;COUNTIFS(D$2:$D112,외피index!$B$3,C$2:$C112,C112),
IF($D112=외피index!$B$4, 외피index!$C$4&amp;"_"&amp;COUNTIFS(D$2:$D112,외피index!$B$4,C$2:$C112,C112),
IF($D112=외피index!$B$5, 외피index!$C$5&amp;"_"&amp;COUNTIFS(D$2:$D112,외피index!$B$5,C$2:$C112,C112),
IF($D112=외피index!$B$6, 외피index!$C$6&amp;"_"&amp;COUNTIFS(D$2:$D112,외피index!$B$6,C$2:$C112,C112),
IF($D112=외피index!$B$7, 외피index!$C$7&amp;"_"&amp;COUNTIFS(D$2:$D112,외피index!$B$7,C$2:$C112,C112),
IF($D112=외피index!$B$8, 외피index!$C$8&amp;"_"&amp;COUNTIFS(D$2:$D112,외피index!$B$8,C$2:$C112,C112),
IF($D112=외피index!$B$9, 외피index!$C$9&amp;"_"&amp;COUNTIFS(D$2:$D112,외피index!$B$9,C$2:$C112,C112),
IF($D112=외피index!$B$10, 외피index!$C$10&amp;"_"&amp;COUNTIFS(D$2:$D112,외피index!$B$10,C$2:$C112,C112), 0))))))))),"")</f>
        <v>3F_Zone016_WL_1</v>
      </c>
      <c r="B112" s="13" t="s">
        <v>35</v>
      </c>
      <c r="C112" s="13" t="s">
        <v>26</v>
      </c>
      <c r="D112" s="13" t="s">
        <v>47</v>
      </c>
      <c r="E112" s="4"/>
      <c r="F112" s="3">
        <v>6.1299814414960503</v>
      </c>
      <c r="G112" s="4"/>
      <c r="H112" s="13" t="s">
        <v>52</v>
      </c>
      <c r="I112" s="3">
        <v>90</v>
      </c>
      <c r="J112" s="4"/>
      <c r="K112" s="4"/>
      <c r="L112" s="4"/>
      <c r="M112" s="4"/>
      <c r="N112" s="4">
        <v>2.3999938964843701</v>
      </c>
      <c r="O112" s="4"/>
      <c r="P112" s="4"/>
    </row>
    <row r="113" spans="1:16" x14ac:dyDescent="0.3">
      <c r="A113" s="12" t="str">
        <f>IFERROR(IF(D113="","",C113&amp;"_"&amp;
IF($D113=외피index!$B$3, 외피index!$C$3&amp;"_"&amp;COUNTIFS(D$2:$D113,외피index!$B$3,C$2:$C113,C113),
IF($D113=외피index!$B$4, 외피index!$C$4&amp;"_"&amp;COUNTIFS(D$2:$D113,외피index!$B$4,C$2:$C113,C113),
IF($D113=외피index!$B$5, 외피index!$C$5&amp;"_"&amp;COUNTIFS(D$2:$D113,외피index!$B$5,C$2:$C113,C113),
IF($D113=외피index!$B$6, 외피index!$C$6&amp;"_"&amp;COUNTIFS(D$2:$D113,외피index!$B$6,C$2:$C113,C113),
IF($D113=외피index!$B$7, 외피index!$C$7&amp;"_"&amp;COUNTIFS(D$2:$D113,외피index!$B$7,C$2:$C113,C113),
IF($D113=외피index!$B$8, 외피index!$C$8&amp;"_"&amp;COUNTIFS(D$2:$D113,외피index!$B$8,C$2:$C113,C113),
IF($D113=외피index!$B$9, 외피index!$C$9&amp;"_"&amp;COUNTIFS(D$2:$D113,외피index!$B$9,C$2:$C113,C113),
IF($D113=외피index!$B$10, 외피index!$C$10&amp;"_"&amp;COUNTIFS(D$2:$D113,외피index!$B$10,C$2:$C113,C113), 0))))))))),"")</f>
        <v>2F_Zone008_WL_1</v>
      </c>
      <c r="B113" s="13" t="s">
        <v>16</v>
      </c>
      <c r="C113" s="13" t="s">
        <v>25</v>
      </c>
      <c r="D113" s="13" t="s">
        <v>47</v>
      </c>
      <c r="E113" s="4"/>
      <c r="F113" s="3">
        <v>6.1299802970897801</v>
      </c>
      <c r="G113" s="4"/>
      <c r="H113" s="13" t="s">
        <v>52</v>
      </c>
      <c r="I113" s="3">
        <v>90</v>
      </c>
      <c r="J113" s="4"/>
      <c r="K113" s="4"/>
      <c r="L113" s="4"/>
      <c r="M113" s="4"/>
      <c r="N113" s="4">
        <v>2.3999938964843701</v>
      </c>
      <c r="O113" s="4"/>
      <c r="P113" s="4"/>
    </row>
    <row r="114" spans="1:16" x14ac:dyDescent="0.3">
      <c r="A114" s="12" t="str">
        <f>IFERROR(IF(D114="","",C114&amp;"_"&amp;
IF($D114=외피index!$B$3, 외피index!$C$3&amp;"_"&amp;COUNTIFS(D$2:$D114,외피index!$B$3,C$2:$C114,C114),
IF($D114=외피index!$B$4, 외피index!$C$4&amp;"_"&amp;COUNTIFS(D$2:$D114,외피index!$B$4,C$2:$C114,C114),
IF($D114=외피index!$B$5, 외피index!$C$5&amp;"_"&amp;COUNTIFS(D$2:$D114,외피index!$B$5,C$2:$C114,C114),
IF($D114=외피index!$B$6, 외피index!$C$6&amp;"_"&amp;COUNTIFS(D$2:$D114,외피index!$B$6,C$2:$C114,C114),
IF($D114=외피index!$B$7, 외피index!$C$7&amp;"_"&amp;COUNTIFS(D$2:$D114,외피index!$B$7,C$2:$C114,C114),
IF($D114=외피index!$B$8, 외피index!$C$8&amp;"_"&amp;COUNTIFS(D$2:$D114,외피index!$B$8,C$2:$C114,C114),
IF($D114=외피index!$B$9, 외피index!$C$9&amp;"_"&amp;COUNTIFS(D$2:$D114,외피index!$B$9,C$2:$C114,C114),
IF($D114=외피index!$B$10, 외피index!$C$10&amp;"_"&amp;COUNTIFS(D$2:$D114,외피index!$B$10,C$2:$C114,C114), 0))))))))),"")</f>
        <v>4F_Zone021_WL_2</v>
      </c>
      <c r="B114" s="13" t="s">
        <v>41</v>
      </c>
      <c r="C114" s="13" t="s">
        <v>36</v>
      </c>
      <c r="D114" s="13" t="s">
        <v>47</v>
      </c>
      <c r="E114" s="4"/>
      <c r="F114" s="3">
        <v>5.41998317718389</v>
      </c>
      <c r="G114" s="4"/>
      <c r="H114" s="13" t="s">
        <v>52</v>
      </c>
      <c r="I114" s="3">
        <v>90</v>
      </c>
      <c r="J114" s="4"/>
      <c r="K114" s="4"/>
      <c r="L114" s="4"/>
      <c r="M114" s="4"/>
      <c r="N114" s="4">
        <v>2.3999938964843701</v>
      </c>
      <c r="O114" s="4"/>
      <c r="P114" s="4"/>
    </row>
    <row r="115" spans="1:16" x14ac:dyDescent="0.3">
      <c r="A115" s="12" t="str">
        <f>IFERROR(IF(D115="","",C115&amp;"_"&amp;
IF($D115=외피index!$B$3, 외피index!$C$3&amp;"_"&amp;COUNTIFS(D$2:$D115,외피index!$B$3,C$2:$C115,C115),
IF($D115=외피index!$B$4, 외피index!$C$4&amp;"_"&amp;COUNTIFS(D$2:$D115,외피index!$B$4,C$2:$C115,C115),
IF($D115=외피index!$B$5, 외피index!$C$5&amp;"_"&amp;COUNTIFS(D$2:$D115,외피index!$B$5,C$2:$C115,C115),
IF($D115=외피index!$B$6, 외피index!$C$6&amp;"_"&amp;COUNTIFS(D$2:$D115,외피index!$B$6,C$2:$C115,C115),
IF($D115=외피index!$B$7, 외피index!$C$7&amp;"_"&amp;COUNTIFS(D$2:$D115,외피index!$B$7,C$2:$C115,C115),
IF($D115=외피index!$B$8, 외피index!$C$8&amp;"_"&amp;COUNTIFS(D$2:$D115,외피index!$B$8,C$2:$C115,C115),
IF($D115=외피index!$B$9, 외피index!$C$9&amp;"_"&amp;COUNTIFS(D$2:$D115,외피index!$B$9,C$2:$C115,C115),
IF($D115=외피index!$B$10, 외피index!$C$10&amp;"_"&amp;COUNTIFS(D$2:$D115,외피index!$B$10,C$2:$C115,C115), 0))))))))),"")</f>
        <v>3F_Zone018_IW_2</v>
      </c>
      <c r="B115" s="13" t="s">
        <v>35</v>
      </c>
      <c r="C115" s="13" t="s">
        <v>34</v>
      </c>
      <c r="D115" s="13" t="s">
        <v>45</v>
      </c>
      <c r="E115" s="4"/>
      <c r="F115" s="3">
        <v>4.3199710893604699</v>
      </c>
      <c r="G115" s="4" t="s">
        <v>26</v>
      </c>
      <c r="H115" s="13" t="s">
        <v>52</v>
      </c>
      <c r="I115" s="3">
        <v>90</v>
      </c>
      <c r="J115" s="4"/>
      <c r="K115" s="4"/>
      <c r="L115" s="4"/>
      <c r="M115" s="4"/>
      <c r="N115" s="4">
        <v>1.3499908447265601</v>
      </c>
      <c r="O115" s="4"/>
      <c r="P115" s="4"/>
    </row>
    <row r="116" spans="1:16" x14ac:dyDescent="0.3">
      <c r="A116" s="12" t="str">
        <f>IFERROR(IF(D116="","",C116&amp;"_"&amp;
IF($D116=외피index!$B$3, 외피index!$C$3&amp;"_"&amp;COUNTIFS(D$2:$D116,외피index!$B$3,C$2:$C116,C116),
IF($D116=외피index!$B$4, 외피index!$C$4&amp;"_"&amp;COUNTIFS(D$2:$D116,외피index!$B$4,C$2:$C116,C116),
IF($D116=외피index!$B$5, 외피index!$C$5&amp;"_"&amp;COUNTIFS(D$2:$D116,외피index!$B$5,C$2:$C116,C116),
IF($D116=외피index!$B$6, 외피index!$C$6&amp;"_"&amp;COUNTIFS(D$2:$D116,외피index!$B$6,C$2:$C116,C116),
IF($D116=외피index!$B$7, 외피index!$C$7&amp;"_"&amp;COUNTIFS(D$2:$D116,외피index!$B$7,C$2:$C116,C116),
IF($D116=외피index!$B$8, 외피index!$C$8&amp;"_"&amp;COUNTIFS(D$2:$D116,외피index!$B$8,C$2:$C116,C116),
IF($D116=외피index!$B$9, 외피index!$C$9&amp;"_"&amp;COUNTIFS(D$2:$D116,외피index!$B$9,C$2:$C116,C116),
IF($D116=외피index!$B$10, 외피index!$C$10&amp;"_"&amp;COUNTIFS(D$2:$D116,외피index!$B$10,C$2:$C116,C116), 0))))))))),"")</f>
        <v>1F_Zone002_WL_2</v>
      </c>
      <c r="B116" s="13" t="s">
        <v>37</v>
      </c>
      <c r="C116" s="13" t="s">
        <v>38</v>
      </c>
      <c r="D116" s="13" t="s">
        <v>47</v>
      </c>
      <c r="E116" s="4"/>
      <c r="F116" s="3">
        <v>18.979987211227101</v>
      </c>
      <c r="G116" s="4"/>
      <c r="H116" s="13" t="s">
        <v>52</v>
      </c>
      <c r="I116" s="3">
        <v>90</v>
      </c>
      <c r="J116" s="4"/>
      <c r="K116" s="4"/>
      <c r="L116" s="4"/>
      <c r="M116" s="4"/>
      <c r="N116" s="4">
        <v>5.1999969482421804</v>
      </c>
      <c r="O116" s="4"/>
      <c r="P116" s="4"/>
    </row>
    <row r="117" spans="1:16" x14ac:dyDescent="0.3">
      <c r="A117" s="12" t="str">
        <f>IFERROR(IF(D117="","",C117&amp;"_"&amp;
IF($D117=외피index!$B$3, 외피index!$C$3&amp;"_"&amp;COUNTIFS(D$2:$D117,외피index!$B$3,C$2:$C117,C117),
IF($D117=외피index!$B$4, 외피index!$C$4&amp;"_"&amp;COUNTIFS(D$2:$D117,외피index!$B$4,C$2:$C117,C117),
IF($D117=외피index!$B$5, 외피index!$C$5&amp;"_"&amp;COUNTIFS(D$2:$D117,외피index!$B$5,C$2:$C117,C117),
IF($D117=외피index!$B$6, 외피index!$C$6&amp;"_"&amp;COUNTIFS(D$2:$D117,외피index!$B$6,C$2:$C117,C117),
IF($D117=외피index!$B$7, 외피index!$C$7&amp;"_"&amp;COUNTIFS(D$2:$D117,외피index!$B$7,C$2:$C117,C117),
IF($D117=외피index!$B$8, 외피index!$C$8&amp;"_"&amp;COUNTIFS(D$2:$D117,외피index!$B$8,C$2:$C117,C117),
IF($D117=외피index!$B$9, 외피index!$C$9&amp;"_"&amp;COUNTIFS(D$2:$D117,외피index!$B$9,C$2:$C117,C117),
IF($D117=외피index!$B$10, 외피index!$C$10&amp;"_"&amp;COUNTIFS(D$2:$D117,외피index!$B$10,C$2:$C117,C117), 0))))))))),"")</f>
        <v>3F_Zone014_WL_1</v>
      </c>
      <c r="B117" s="13" t="s">
        <v>35</v>
      </c>
      <c r="C117" s="13" t="s">
        <v>19</v>
      </c>
      <c r="D117" s="13" t="s">
        <v>47</v>
      </c>
      <c r="E117" s="4"/>
      <c r="F117" s="3">
        <v>12.7399911499014</v>
      </c>
      <c r="G117" s="4"/>
      <c r="H117" s="13" t="s">
        <v>52</v>
      </c>
      <c r="I117" s="3">
        <v>90</v>
      </c>
      <c r="J117" s="4"/>
      <c r="K117" s="4"/>
      <c r="L117" s="4"/>
      <c r="M117" s="4"/>
      <c r="N117" s="4">
        <v>5.1999969482421804</v>
      </c>
      <c r="O117" s="4"/>
      <c r="P117" s="4"/>
    </row>
    <row r="118" spans="1:16" x14ac:dyDescent="0.3">
      <c r="A118" s="12" t="str">
        <f>IFERROR(IF(D118="","",C118&amp;"_"&amp;
IF($D118=외피index!$B$3, 외피index!$C$3&amp;"_"&amp;COUNTIFS(D$2:$D118,외피index!$B$3,C$2:$C118,C118),
IF($D118=외피index!$B$4, 외피index!$C$4&amp;"_"&amp;COUNTIFS(D$2:$D118,외피index!$B$4,C$2:$C118,C118),
IF($D118=외피index!$B$5, 외피index!$C$5&amp;"_"&amp;COUNTIFS(D$2:$D118,외피index!$B$5,C$2:$C118,C118),
IF($D118=외피index!$B$6, 외피index!$C$6&amp;"_"&amp;COUNTIFS(D$2:$D118,외피index!$B$6,C$2:$C118,C118),
IF($D118=외피index!$B$7, 외피index!$C$7&amp;"_"&amp;COUNTIFS(D$2:$D118,외피index!$B$7,C$2:$C118,C118),
IF($D118=외피index!$B$8, 외피index!$C$8&amp;"_"&amp;COUNTIFS(D$2:$D118,외피index!$B$8,C$2:$C118,C118),
IF($D118=외피index!$B$9, 외피index!$C$9&amp;"_"&amp;COUNTIFS(D$2:$D118,외피index!$B$9,C$2:$C118,C118),
IF($D118=외피index!$B$10, 외피index!$C$10&amp;"_"&amp;COUNTIFS(D$2:$D118,외피index!$B$10,C$2:$C118,C118), 0))))))))),"")</f>
        <v>2F_Zone006_WL_1</v>
      </c>
      <c r="B118" s="13" t="s">
        <v>16</v>
      </c>
      <c r="C118" s="13" t="s">
        <v>17</v>
      </c>
      <c r="D118" s="13" t="s">
        <v>47</v>
      </c>
      <c r="E118" s="4"/>
      <c r="F118" s="3">
        <v>12.7399901008611</v>
      </c>
      <c r="G118" s="4"/>
      <c r="H118" s="13" t="s">
        <v>52</v>
      </c>
      <c r="I118" s="3">
        <v>90</v>
      </c>
      <c r="J118" s="4"/>
      <c r="K118" s="4"/>
      <c r="L118" s="4"/>
      <c r="M118" s="4"/>
      <c r="N118" s="4">
        <v>5.1999969482421804</v>
      </c>
      <c r="O118" s="4"/>
      <c r="P118" s="4"/>
    </row>
    <row r="119" spans="1:16" x14ac:dyDescent="0.3">
      <c r="A119" s="12" t="str">
        <f>IFERROR(IF(D119="","",C119&amp;"_"&amp;
IF($D119=외피index!$B$3, 외피index!$C$3&amp;"_"&amp;COUNTIFS(D$2:$D119,외피index!$B$3,C$2:$C119,C119),
IF($D119=외피index!$B$4, 외피index!$C$4&amp;"_"&amp;COUNTIFS(D$2:$D119,외피index!$B$4,C$2:$C119,C119),
IF($D119=외피index!$B$5, 외피index!$C$5&amp;"_"&amp;COUNTIFS(D$2:$D119,외피index!$B$5,C$2:$C119,C119),
IF($D119=외피index!$B$6, 외피index!$C$6&amp;"_"&amp;COUNTIFS(D$2:$D119,외피index!$B$6,C$2:$C119,C119),
IF($D119=외피index!$B$7, 외피index!$C$7&amp;"_"&amp;COUNTIFS(D$2:$D119,외피index!$B$7,C$2:$C119,C119),
IF($D119=외피index!$B$8, 외피index!$C$8&amp;"_"&amp;COUNTIFS(D$2:$D119,외피index!$B$8,C$2:$C119,C119),
IF($D119=외피index!$B$9, 외피index!$C$9&amp;"_"&amp;COUNTIFS(D$2:$D119,외피index!$B$9,C$2:$C119,C119),
IF($D119=외피index!$B$10, 외피index!$C$10&amp;"_"&amp;COUNTIFS(D$2:$D119,외피index!$B$10,C$2:$C119,C119), 0))))))))),"")</f>
        <v>2F_Zone013_IW_1</v>
      </c>
      <c r="B119" s="13" t="s">
        <v>16</v>
      </c>
      <c r="C119" s="13" t="s">
        <v>32</v>
      </c>
      <c r="D119" s="13" t="s">
        <v>45</v>
      </c>
      <c r="E119" s="4"/>
      <c r="F119" s="3">
        <v>4.3199704456346799</v>
      </c>
      <c r="G119" s="4" t="s">
        <v>25</v>
      </c>
      <c r="H119" s="13" t="s">
        <v>52</v>
      </c>
      <c r="I119" s="3">
        <v>90</v>
      </c>
      <c r="J119" s="4"/>
      <c r="K119" s="4"/>
      <c r="L119" s="4"/>
      <c r="M119" s="4"/>
      <c r="N119" s="4">
        <v>1.3499908447265601</v>
      </c>
      <c r="O119" s="4"/>
      <c r="P119" s="4"/>
    </row>
    <row r="120" spans="1:16" x14ac:dyDescent="0.3">
      <c r="A120" s="12" t="str">
        <f>IFERROR(IF(D120="","",C120&amp;"_"&amp;
IF($D120=외피index!$B$3, 외피index!$C$3&amp;"_"&amp;COUNTIFS(D$2:$D120,외피index!$B$3,C$2:$C120,C120),
IF($D120=외피index!$B$4, 외피index!$C$4&amp;"_"&amp;COUNTIFS(D$2:$D120,외피index!$B$4,C$2:$C120,C120),
IF($D120=외피index!$B$5, 외피index!$C$5&amp;"_"&amp;COUNTIFS(D$2:$D120,외피index!$B$5,C$2:$C120,C120),
IF($D120=외피index!$B$6, 외피index!$C$6&amp;"_"&amp;COUNTIFS(D$2:$D120,외피index!$B$6,C$2:$C120,C120),
IF($D120=외피index!$B$7, 외피index!$C$7&amp;"_"&amp;COUNTIFS(D$2:$D120,외피index!$B$7,C$2:$C120,C120),
IF($D120=외피index!$B$8, 외피index!$C$8&amp;"_"&amp;COUNTIFS(D$2:$D120,외피index!$B$8,C$2:$C120,C120),
IF($D120=외피index!$B$9, 외피index!$C$9&amp;"_"&amp;COUNTIFS(D$2:$D120,외피index!$B$9,C$2:$C120,C120),
IF($D120=외피index!$B$10, 외피index!$C$10&amp;"_"&amp;COUNTIFS(D$2:$D120,외피index!$B$10,C$2:$C120,C120), 0))))))))),"")</f>
        <v>2F_Zone013_IW_2</v>
      </c>
      <c r="B120" s="13" t="s">
        <v>16</v>
      </c>
      <c r="C120" s="13" t="s">
        <v>32</v>
      </c>
      <c r="D120" s="13" t="s">
        <v>45</v>
      </c>
      <c r="E120" s="4"/>
      <c r="F120" s="3">
        <v>3.3600095653528101</v>
      </c>
      <c r="G120" s="4" t="s">
        <v>28</v>
      </c>
      <c r="H120" s="13" t="s">
        <v>52</v>
      </c>
      <c r="I120" s="3">
        <v>90</v>
      </c>
      <c r="J120" s="4"/>
      <c r="K120" s="4"/>
      <c r="L120" s="4"/>
      <c r="M120" s="4"/>
      <c r="N120" s="4">
        <v>1.0500030517578101</v>
      </c>
      <c r="O120" s="4"/>
      <c r="P120" s="4"/>
    </row>
    <row r="121" spans="1:16" x14ac:dyDescent="0.3">
      <c r="A121" s="12" t="str">
        <f>IFERROR(IF(D121="","",C121&amp;"_"&amp;
IF($D121=외피index!$B$3, 외피index!$C$3&amp;"_"&amp;COUNTIFS(D$2:$D121,외피index!$B$3,C$2:$C121,C121),
IF($D121=외피index!$B$4, 외피index!$C$4&amp;"_"&amp;COUNTIFS(D$2:$D121,외피index!$B$4,C$2:$C121,C121),
IF($D121=외피index!$B$5, 외피index!$C$5&amp;"_"&amp;COUNTIFS(D$2:$D121,외피index!$B$5,C$2:$C121,C121),
IF($D121=외피index!$B$6, 외피index!$C$6&amp;"_"&amp;COUNTIFS(D$2:$D121,외피index!$B$6,C$2:$C121,C121),
IF($D121=외피index!$B$7, 외피index!$C$7&amp;"_"&amp;COUNTIFS(D$2:$D121,외피index!$B$7,C$2:$C121,C121),
IF($D121=외피index!$B$8, 외피index!$C$8&amp;"_"&amp;COUNTIFS(D$2:$D121,외피index!$B$8,C$2:$C121,C121),
IF($D121=외피index!$B$9, 외피index!$C$9&amp;"_"&amp;COUNTIFS(D$2:$D121,외피index!$B$9,C$2:$C121,C121),
IF($D121=외피index!$B$10, 외피index!$C$10&amp;"_"&amp;COUNTIFS(D$2:$D121,외피index!$B$10,C$2:$C121,C121), 0))))))))),"")</f>
        <v>2F_Zone010_IW_2</v>
      </c>
      <c r="B121" s="13" t="s">
        <v>16</v>
      </c>
      <c r="C121" s="13" t="s">
        <v>28</v>
      </c>
      <c r="D121" s="13" t="s">
        <v>45</v>
      </c>
      <c r="E121" s="4"/>
      <c r="F121" s="3">
        <v>11.680028600690999</v>
      </c>
      <c r="G121" s="4" t="s">
        <v>30</v>
      </c>
      <c r="H121" s="13" t="s">
        <v>52</v>
      </c>
      <c r="I121" s="3">
        <v>90</v>
      </c>
      <c r="J121" s="4"/>
      <c r="K121" s="4"/>
      <c r="L121" s="4"/>
      <c r="M121" s="4"/>
      <c r="N121" s="4">
        <v>3.65000915527343</v>
      </c>
      <c r="O121" s="4"/>
      <c r="P121" s="4"/>
    </row>
    <row r="122" spans="1:16" x14ac:dyDescent="0.3">
      <c r="A122" s="12" t="str">
        <f>IFERROR(IF(D122="","",C122&amp;"_"&amp;
IF($D122=외피index!$B$3, 외피index!$C$3&amp;"_"&amp;COUNTIFS(D$2:$D122,외피index!$B$3,C$2:$C122,C122),
IF($D122=외피index!$B$4, 외피index!$C$4&amp;"_"&amp;COUNTIFS(D$2:$D122,외피index!$B$4,C$2:$C122,C122),
IF($D122=외피index!$B$5, 외피index!$C$5&amp;"_"&amp;COUNTIFS(D$2:$D122,외피index!$B$5,C$2:$C122,C122),
IF($D122=외피index!$B$6, 외피index!$C$6&amp;"_"&amp;COUNTIFS(D$2:$D122,외피index!$B$6,C$2:$C122,C122),
IF($D122=외피index!$B$7, 외피index!$C$7&amp;"_"&amp;COUNTIFS(D$2:$D122,외피index!$B$7,C$2:$C122,C122),
IF($D122=외피index!$B$8, 외피index!$C$8&amp;"_"&amp;COUNTIFS(D$2:$D122,외피index!$B$8,C$2:$C122,C122),
IF($D122=외피index!$B$9, 외피index!$C$9&amp;"_"&amp;COUNTIFS(D$2:$D122,외피index!$B$9,C$2:$C122,C122),
IF($D122=외피index!$B$10, 외피index!$C$10&amp;"_"&amp;COUNTIFS(D$2:$D122,외피index!$B$10,C$2:$C122,C122), 0))))))))),"")</f>
        <v>1F_Zone005_WL_2</v>
      </c>
      <c r="B122" s="13" t="s">
        <v>37</v>
      </c>
      <c r="C122" s="13" t="s">
        <v>42</v>
      </c>
      <c r="D122" s="13" t="s">
        <v>47</v>
      </c>
      <c r="E122" s="4"/>
      <c r="F122" s="3">
        <v>1.42977749477711</v>
      </c>
      <c r="G122" s="4"/>
      <c r="H122" s="13" t="s">
        <v>52</v>
      </c>
      <c r="I122" s="3">
        <v>90</v>
      </c>
      <c r="J122" s="4"/>
      <c r="K122" s="4"/>
      <c r="L122" s="4"/>
      <c r="M122" s="4"/>
      <c r="N122" s="4">
        <v>0.885009765625</v>
      </c>
      <c r="O122" s="4"/>
      <c r="P122" s="4"/>
    </row>
    <row r="123" spans="1:16" x14ac:dyDescent="0.3">
      <c r="A123" s="12" t="str">
        <f>IFERROR(IF(D123="","",C123&amp;"_"&amp;
IF($D123=외피index!$B$3, 외피index!$C$3&amp;"_"&amp;COUNTIFS(D$2:$D123,외피index!$B$3,C$2:$C123,C123),
IF($D123=외피index!$B$4, 외피index!$C$4&amp;"_"&amp;COUNTIFS(D$2:$D123,외피index!$B$4,C$2:$C123,C123),
IF($D123=외피index!$B$5, 외피index!$C$5&amp;"_"&amp;COUNTIFS(D$2:$D123,외피index!$B$5,C$2:$C123,C123),
IF($D123=외피index!$B$6, 외피index!$C$6&amp;"_"&amp;COUNTIFS(D$2:$D123,외피index!$B$6,C$2:$C123,C123),
IF($D123=외피index!$B$7, 외피index!$C$7&amp;"_"&amp;COUNTIFS(D$2:$D123,외피index!$B$7,C$2:$C123,C123),
IF($D123=외피index!$B$8, 외피index!$C$8&amp;"_"&amp;COUNTIFS(D$2:$D123,외피index!$B$8,C$2:$C123,C123),
IF($D123=외피index!$B$9, 외피index!$C$9&amp;"_"&amp;COUNTIFS(D$2:$D123,외피index!$B$9,C$2:$C123,C123),
IF($D123=외피index!$B$10, 외피index!$C$10&amp;"_"&amp;COUNTIFS(D$2:$D123,외피index!$B$10,C$2:$C123,C123), 0))))))))),"")</f>
        <v>2F_Zone006_WIN_1</v>
      </c>
      <c r="B123" s="13" t="s">
        <v>16</v>
      </c>
      <c r="C123" s="13" t="s">
        <v>17</v>
      </c>
      <c r="D123" s="13" t="s">
        <v>48</v>
      </c>
      <c r="E123" s="4"/>
      <c r="F123" s="3">
        <v>1.9499995708465501</v>
      </c>
      <c r="G123" s="4"/>
      <c r="H123" s="13" t="s">
        <v>52</v>
      </c>
      <c r="I123" s="3">
        <v>90</v>
      </c>
      <c r="J123" s="4">
        <v>0</v>
      </c>
      <c r="K123" s="4">
        <v>0</v>
      </c>
      <c r="L123" s="4">
        <v>0</v>
      </c>
      <c r="M123" s="4">
        <v>2.2666096687316801</v>
      </c>
      <c r="N123" s="4"/>
      <c r="O123" s="4">
        <v>1.5</v>
      </c>
      <c r="P123" s="4">
        <v>1.9849431367507999</v>
      </c>
    </row>
    <row r="124" spans="1:16" x14ac:dyDescent="0.3">
      <c r="A124" s="12" t="str">
        <f>IFERROR(IF(D124="","",C124&amp;"_"&amp;
IF($D124=외피index!$B$3, 외피index!$C$3&amp;"_"&amp;COUNTIFS(D$2:$D124,외피index!$B$3,C$2:$C124,C124),
IF($D124=외피index!$B$4, 외피index!$C$4&amp;"_"&amp;COUNTIFS(D$2:$D124,외피index!$B$4,C$2:$C124,C124),
IF($D124=외피index!$B$5, 외피index!$C$5&amp;"_"&amp;COUNTIFS(D$2:$D124,외피index!$B$5,C$2:$C124,C124),
IF($D124=외피index!$B$6, 외피index!$C$6&amp;"_"&amp;COUNTIFS(D$2:$D124,외피index!$B$6,C$2:$C124,C124),
IF($D124=외피index!$B$7, 외피index!$C$7&amp;"_"&amp;COUNTIFS(D$2:$D124,외피index!$B$7,C$2:$C124,C124),
IF($D124=외피index!$B$8, 외피index!$C$8&amp;"_"&amp;COUNTIFS(D$2:$D124,외피index!$B$8,C$2:$C124,C124),
IF($D124=외피index!$B$9, 외피index!$C$9&amp;"_"&amp;COUNTIFS(D$2:$D124,외피index!$B$9,C$2:$C124,C124),
IF($D124=외피index!$B$10, 외피index!$C$10&amp;"_"&amp;COUNTIFS(D$2:$D124,외피index!$B$10,C$2:$C124,C124), 0))))))))),"")</f>
        <v>2F_Zone006_WIN_2</v>
      </c>
      <c r="B124" s="13" t="s">
        <v>16</v>
      </c>
      <c r="C124" s="13" t="s">
        <v>17</v>
      </c>
      <c r="D124" s="13" t="s">
        <v>48</v>
      </c>
      <c r="E124" s="4"/>
      <c r="F124" s="3">
        <v>1.9499995708465501</v>
      </c>
      <c r="G124" s="4"/>
      <c r="H124" s="13" t="s">
        <v>52</v>
      </c>
      <c r="I124" s="3">
        <v>90</v>
      </c>
      <c r="J124" s="4">
        <v>0</v>
      </c>
      <c r="K124" s="4">
        <v>0</v>
      </c>
      <c r="L124" s="4">
        <v>0</v>
      </c>
      <c r="M124" s="4">
        <v>2.2666096687316801</v>
      </c>
      <c r="N124" s="4"/>
      <c r="O124" s="4">
        <v>1.5</v>
      </c>
      <c r="P124" s="4">
        <v>1.9849431367507999</v>
      </c>
    </row>
    <row r="125" spans="1:16" x14ac:dyDescent="0.3">
      <c r="A125" s="12" t="str">
        <f>IFERROR(IF(D125="","",C125&amp;"_"&amp;
IF($D125=외피index!$B$3, 외피index!$C$3&amp;"_"&amp;COUNTIFS(D$2:$D125,외피index!$B$3,C$2:$C125,C125),
IF($D125=외피index!$B$4, 외피index!$C$4&amp;"_"&amp;COUNTIFS(D$2:$D125,외피index!$B$4,C$2:$C125,C125),
IF($D125=외피index!$B$5, 외피index!$C$5&amp;"_"&amp;COUNTIFS(D$2:$D125,외피index!$B$5,C$2:$C125,C125),
IF($D125=외피index!$B$6, 외피index!$C$6&amp;"_"&amp;COUNTIFS(D$2:$D125,외피index!$B$6,C$2:$C125,C125),
IF($D125=외피index!$B$7, 외피index!$C$7&amp;"_"&amp;COUNTIFS(D$2:$D125,외피index!$B$7,C$2:$C125,C125),
IF($D125=외피index!$B$8, 외피index!$C$8&amp;"_"&amp;COUNTIFS(D$2:$D125,외피index!$B$8,C$2:$C125,C125),
IF($D125=외피index!$B$9, 외피index!$C$9&amp;"_"&amp;COUNTIFS(D$2:$D125,외피index!$B$9,C$2:$C125,C125),
IF($D125=외피index!$B$10, 외피index!$C$10&amp;"_"&amp;COUNTIFS(D$2:$D125,외피index!$B$10,C$2:$C125,C125), 0))))))))),"")</f>
        <v>3F_Zone014_WIN_1</v>
      </c>
      <c r="B125" s="13" t="s">
        <v>35</v>
      </c>
      <c r="C125" s="13" t="s">
        <v>19</v>
      </c>
      <c r="D125" s="13" t="s">
        <v>48</v>
      </c>
      <c r="E125" s="4"/>
      <c r="F125" s="3">
        <v>1.95000028610229</v>
      </c>
      <c r="G125" s="4"/>
      <c r="H125" s="13" t="s">
        <v>52</v>
      </c>
      <c r="I125" s="3">
        <v>90</v>
      </c>
      <c r="J125" s="4">
        <v>0</v>
      </c>
      <c r="K125" s="4">
        <v>0</v>
      </c>
      <c r="L125" s="4">
        <v>0</v>
      </c>
      <c r="M125" s="4">
        <v>0</v>
      </c>
      <c r="N125" s="4"/>
      <c r="O125" s="4">
        <v>1.5</v>
      </c>
      <c r="P125" s="4">
        <v>1.9849434490460101</v>
      </c>
    </row>
    <row r="126" spans="1:16" x14ac:dyDescent="0.3">
      <c r="A126" s="12" t="str">
        <f>IFERROR(IF(D126="","",C126&amp;"_"&amp;
IF($D126=외피index!$B$3, 외피index!$C$3&amp;"_"&amp;COUNTIFS(D$2:$D126,외피index!$B$3,C$2:$C126,C126),
IF($D126=외피index!$B$4, 외피index!$C$4&amp;"_"&amp;COUNTIFS(D$2:$D126,외피index!$B$4,C$2:$C126,C126),
IF($D126=외피index!$B$5, 외피index!$C$5&amp;"_"&amp;COUNTIFS(D$2:$D126,외피index!$B$5,C$2:$C126,C126),
IF($D126=외피index!$B$6, 외피index!$C$6&amp;"_"&amp;COUNTIFS(D$2:$D126,외피index!$B$6,C$2:$C126,C126),
IF($D126=외피index!$B$7, 외피index!$C$7&amp;"_"&amp;COUNTIFS(D$2:$D126,외피index!$B$7,C$2:$C126,C126),
IF($D126=외피index!$B$8, 외피index!$C$8&amp;"_"&amp;COUNTIFS(D$2:$D126,외피index!$B$8,C$2:$C126,C126),
IF($D126=외피index!$B$9, 외피index!$C$9&amp;"_"&amp;COUNTIFS(D$2:$D126,외피index!$B$9,C$2:$C126,C126),
IF($D126=외피index!$B$10, 외피index!$C$10&amp;"_"&amp;COUNTIFS(D$2:$D126,외피index!$B$10,C$2:$C126,C126), 0))))))))),"")</f>
        <v>3F_Zone014_WIN_2</v>
      </c>
      <c r="B126" s="13" t="s">
        <v>35</v>
      </c>
      <c r="C126" s="13" t="s">
        <v>19</v>
      </c>
      <c r="D126" s="13" t="s">
        <v>48</v>
      </c>
      <c r="E126" s="4"/>
      <c r="F126" s="3">
        <v>1.95000028610229</v>
      </c>
      <c r="G126" s="4"/>
      <c r="H126" s="13" t="s">
        <v>52</v>
      </c>
      <c r="I126" s="3">
        <v>90</v>
      </c>
      <c r="J126" s="4">
        <v>0</v>
      </c>
      <c r="K126" s="4">
        <v>0</v>
      </c>
      <c r="L126" s="4">
        <v>0</v>
      </c>
      <c r="M126" s="4">
        <v>0</v>
      </c>
      <c r="N126" s="4"/>
      <c r="O126" s="4">
        <v>1.5</v>
      </c>
      <c r="P126" s="4">
        <v>1.9849434490460101</v>
      </c>
    </row>
    <row r="127" spans="1:16" x14ac:dyDescent="0.3">
      <c r="A127" s="12" t="str">
        <f>IFERROR(IF(D127="","",C127&amp;"_"&amp;
IF($D127=외피index!$B$3, 외피index!$C$3&amp;"_"&amp;COUNTIFS(D$2:$D127,외피index!$B$3,C$2:$C127,C127),
IF($D127=외피index!$B$4, 외피index!$C$4&amp;"_"&amp;COUNTIFS(D$2:$D127,외피index!$B$4,C$2:$C127,C127),
IF($D127=외피index!$B$5, 외피index!$C$5&amp;"_"&amp;COUNTIFS(D$2:$D127,외피index!$B$5,C$2:$C127,C127),
IF($D127=외피index!$B$6, 외피index!$C$6&amp;"_"&amp;COUNTIFS(D$2:$D127,외피index!$B$6,C$2:$C127,C127),
IF($D127=외피index!$B$7, 외피index!$C$7&amp;"_"&amp;COUNTIFS(D$2:$D127,외피index!$B$7,C$2:$C127,C127),
IF($D127=외피index!$B$8, 외피index!$C$8&amp;"_"&amp;COUNTIFS(D$2:$D127,외피index!$B$8,C$2:$C127,C127),
IF($D127=외피index!$B$9, 외피index!$C$9&amp;"_"&amp;COUNTIFS(D$2:$D127,외피index!$B$9,C$2:$C127,C127),
IF($D127=외피index!$B$10, 외피index!$C$10&amp;"_"&amp;COUNTIFS(D$2:$D127,외피index!$B$10,C$2:$C127,C127), 0))))))))),"")</f>
        <v>1F_Zone005_CW_2</v>
      </c>
      <c r="B127" s="13" t="s">
        <v>37</v>
      </c>
      <c r="C127" s="13" t="s">
        <v>42</v>
      </c>
      <c r="D127" s="13" t="s">
        <v>49</v>
      </c>
      <c r="E127" s="4" t="s">
        <v>50</v>
      </c>
      <c r="F127" s="3">
        <v>1.8447586802359399</v>
      </c>
      <c r="G127" s="4"/>
      <c r="H127" s="13" t="s">
        <v>52</v>
      </c>
      <c r="I127" s="3">
        <v>90</v>
      </c>
      <c r="J127" s="4">
        <v>0</v>
      </c>
      <c r="K127" s="4">
        <v>0</v>
      </c>
      <c r="L127" s="4">
        <v>0</v>
      </c>
      <c r="M127" s="4">
        <v>7.5499999038875103</v>
      </c>
      <c r="N127" s="4"/>
      <c r="O127" s="4">
        <v>0.785003662109375</v>
      </c>
      <c r="P127" s="4">
        <v>2.4776463012807701</v>
      </c>
    </row>
    <row r="128" spans="1:16" x14ac:dyDescent="0.3">
      <c r="A128" s="12" t="str">
        <f>IFERROR(IF(D128="","",C128&amp;"_"&amp;
IF($D128=외피index!$B$3, 외피index!$C$3&amp;"_"&amp;COUNTIFS(D$2:$D128,외피index!$B$3,C$2:$C128,C128),
IF($D128=외피index!$B$4, 외피index!$C$4&amp;"_"&amp;COUNTIFS(D$2:$D128,외피index!$B$4,C$2:$C128,C128),
IF($D128=외피index!$B$5, 외피index!$C$5&amp;"_"&amp;COUNTIFS(D$2:$D128,외피index!$B$5,C$2:$C128,C128),
IF($D128=외피index!$B$6, 외피index!$C$6&amp;"_"&amp;COUNTIFS(D$2:$D128,외피index!$B$6,C$2:$C128,C128),
IF($D128=외피index!$B$7, 외피index!$C$7&amp;"_"&amp;COUNTIFS(D$2:$D128,외피index!$B$7,C$2:$C128,C128),
IF($D128=외피index!$B$8, 외피index!$C$8&amp;"_"&amp;COUNTIFS(D$2:$D128,외피index!$B$8,C$2:$C128,C128),
IF($D128=외피index!$B$9, 외피index!$C$9&amp;"_"&amp;COUNTIFS(D$2:$D128,외피index!$B$9,C$2:$C128,C128),
IF($D128=외피index!$B$10, 외피index!$C$10&amp;"_"&amp;COUNTIFS(D$2:$D128,외피index!$B$10,C$2:$C128,C128), 0))))))))),"")</f>
        <v>1F_Zone002_WIN_2</v>
      </c>
      <c r="B128" s="13" t="s">
        <v>37</v>
      </c>
      <c r="C128" s="13" t="s">
        <v>38</v>
      </c>
      <c r="D128" s="13" t="s">
        <v>48</v>
      </c>
      <c r="E128" s="4"/>
      <c r="F128" s="3">
        <v>1.9499999284744201</v>
      </c>
      <c r="G128" s="4"/>
      <c r="H128" s="13" t="s">
        <v>52</v>
      </c>
      <c r="I128" s="3">
        <v>90</v>
      </c>
      <c r="J128" s="4">
        <v>0</v>
      </c>
      <c r="K128" s="4">
        <v>0</v>
      </c>
      <c r="L128" s="4">
        <v>0</v>
      </c>
      <c r="M128" s="4">
        <v>6.3870398998260498</v>
      </c>
      <c r="N128" s="4"/>
      <c r="O128" s="4">
        <v>1.5</v>
      </c>
      <c r="P128" s="4">
        <v>1.9849432928983901</v>
      </c>
    </row>
    <row r="129" spans="1:16" x14ac:dyDescent="0.3">
      <c r="A129" s="12" t="str">
        <f>IFERROR(IF(D129="","",C129&amp;"_"&amp;
IF($D129=외피index!$B$3, 외피index!$C$3&amp;"_"&amp;COUNTIFS(D$2:$D129,외피index!$B$3,C$2:$C129,C129),
IF($D129=외피index!$B$4, 외피index!$C$4&amp;"_"&amp;COUNTIFS(D$2:$D129,외피index!$B$4,C$2:$C129,C129),
IF($D129=외피index!$B$5, 외피index!$C$5&amp;"_"&amp;COUNTIFS(D$2:$D129,외피index!$B$5,C$2:$C129,C129),
IF($D129=외피index!$B$6, 외피index!$C$6&amp;"_"&amp;COUNTIFS(D$2:$D129,외피index!$B$6,C$2:$C129,C129),
IF($D129=외피index!$B$7, 외피index!$C$7&amp;"_"&amp;COUNTIFS(D$2:$D129,외피index!$B$7,C$2:$C129,C129),
IF($D129=외피index!$B$8, 외피index!$C$8&amp;"_"&amp;COUNTIFS(D$2:$D129,외피index!$B$8,C$2:$C129,C129),
IF($D129=외피index!$B$9, 외피index!$C$9&amp;"_"&amp;COUNTIFS(D$2:$D129,외피index!$B$9,C$2:$C129,C129),
IF($D129=외피index!$B$10, 외피index!$C$10&amp;"_"&amp;COUNTIFS(D$2:$D129,외피index!$B$10,C$2:$C129,C129), 0))))))))),"")</f>
        <v>1F_Zone002_WIN_3</v>
      </c>
      <c r="B129" s="13" t="s">
        <v>37</v>
      </c>
      <c r="C129" s="13" t="s">
        <v>38</v>
      </c>
      <c r="D129" s="13" t="s">
        <v>48</v>
      </c>
      <c r="E129" s="4"/>
      <c r="F129" s="3">
        <v>1.9499999284744201</v>
      </c>
      <c r="G129" s="4"/>
      <c r="H129" s="13" t="s">
        <v>52</v>
      </c>
      <c r="I129" s="3">
        <v>90</v>
      </c>
      <c r="J129" s="4">
        <v>0</v>
      </c>
      <c r="K129" s="4">
        <v>0</v>
      </c>
      <c r="L129" s="4">
        <v>0</v>
      </c>
      <c r="M129" s="4">
        <v>6.3870398998260498</v>
      </c>
      <c r="N129" s="4"/>
      <c r="O129" s="4">
        <v>1.5</v>
      </c>
      <c r="P129" s="4">
        <v>1.9849432928983901</v>
      </c>
    </row>
    <row r="130" spans="1:16" x14ac:dyDescent="0.3">
      <c r="A130" s="12" t="str">
        <f>IFERROR(IF(D130="","",C130&amp;"_"&amp;
IF($D130=외피index!$B$3, 외피index!$C$3&amp;"_"&amp;COUNTIFS(D$2:$D130,외피index!$B$3,C$2:$C130,C130),
IF($D130=외피index!$B$4, 외피index!$C$4&amp;"_"&amp;COUNTIFS(D$2:$D130,외피index!$B$4,C$2:$C130,C130),
IF($D130=외피index!$B$5, 외피index!$C$5&amp;"_"&amp;COUNTIFS(D$2:$D130,외피index!$B$5,C$2:$C130,C130),
IF($D130=외피index!$B$6, 외피index!$C$6&amp;"_"&amp;COUNTIFS(D$2:$D130,외피index!$B$6,C$2:$C130,C130),
IF($D130=외피index!$B$7, 외피index!$C$7&amp;"_"&amp;COUNTIFS(D$2:$D130,외피index!$B$7,C$2:$C130,C130),
IF($D130=외피index!$B$8, 외피index!$C$8&amp;"_"&amp;COUNTIFS(D$2:$D130,외피index!$B$8,C$2:$C130,C130),
IF($D130=외피index!$B$9, 외피index!$C$9&amp;"_"&amp;COUNTIFS(D$2:$D130,외피index!$B$9,C$2:$C130,C130),
IF($D130=외피index!$B$10, 외피index!$C$10&amp;"_"&amp;COUNTIFS(D$2:$D130,외피index!$B$10,C$2:$C130,C130), 0))))))))),"")</f>
        <v>3F_Zone016_WIN_1</v>
      </c>
      <c r="B130" s="13" t="s">
        <v>35</v>
      </c>
      <c r="C130" s="13" t="s">
        <v>26</v>
      </c>
      <c r="D130" s="13" t="s">
        <v>48</v>
      </c>
      <c r="E130" s="4"/>
      <c r="F130" s="3">
        <v>0.25</v>
      </c>
      <c r="G130" s="4"/>
      <c r="H130" s="13" t="s">
        <v>52</v>
      </c>
      <c r="I130" s="3">
        <v>90</v>
      </c>
      <c r="J130" s="4">
        <v>0</v>
      </c>
      <c r="K130" s="4">
        <v>1.19999694824218</v>
      </c>
      <c r="L130" s="4">
        <v>0</v>
      </c>
      <c r="M130" s="4">
        <v>0</v>
      </c>
      <c r="N130" s="4"/>
      <c r="O130" s="4">
        <v>1</v>
      </c>
      <c r="P130" s="4">
        <v>1.03077640640441</v>
      </c>
    </row>
    <row r="131" spans="1:16" x14ac:dyDescent="0.3">
      <c r="A131" s="12" t="str">
        <f>IFERROR(IF(D131="","",C131&amp;"_"&amp;
IF($D131=외피index!$B$3, 외피index!$C$3&amp;"_"&amp;COUNTIFS(D$2:$D131,외피index!$B$3,C$2:$C131,C131),
IF($D131=외피index!$B$4, 외피index!$C$4&amp;"_"&amp;COUNTIFS(D$2:$D131,외피index!$B$4,C$2:$C131,C131),
IF($D131=외피index!$B$5, 외피index!$C$5&amp;"_"&amp;COUNTIFS(D$2:$D131,외피index!$B$5,C$2:$C131,C131),
IF($D131=외피index!$B$6, 외피index!$C$6&amp;"_"&amp;COUNTIFS(D$2:$D131,외피index!$B$6,C$2:$C131,C131),
IF($D131=외피index!$B$7, 외피index!$C$7&amp;"_"&amp;COUNTIFS(D$2:$D131,외피index!$B$7,C$2:$C131,C131),
IF($D131=외피index!$B$8, 외피index!$C$8&amp;"_"&amp;COUNTIFS(D$2:$D131,외피index!$B$8,C$2:$C131,C131),
IF($D131=외피index!$B$9, 외피index!$C$9&amp;"_"&amp;COUNTIFS(D$2:$D131,외피index!$B$9,C$2:$C131,C131),
IF($D131=외피index!$B$10, 외피index!$C$10&amp;"_"&amp;COUNTIFS(D$2:$D131,외피index!$B$10,C$2:$C131,C131), 0))))))))),"")</f>
        <v>3F_Zone016_WIN_2</v>
      </c>
      <c r="B131" s="13" t="s">
        <v>35</v>
      </c>
      <c r="C131" s="13" t="s">
        <v>26</v>
      </c>
      <c r="D131" s="13" t="s">
        <v>48</v>
      </c>
      <c r="E131" s="4"/>
      <c r="F131" s="3">
        <v>1.2999997138977</v>
      </c>
      <c r="G131" s="4"/>
      <c r="H131" s="13" t="s">
        <v>52</v>
      </c>
      <c r="I131" s="3">
        <v>90</v>
      </c>
      <c r="J131" s="4">
        <v>0</v>
      </c>
      <c r="K131" s="4">
        <v>1.19999694824218</v>
      </c>
      <c r="L131" s="4">
        <v>0</v>
      </c>
      <c r="M131" s="4">
        <v>0</v>
      </c>
      <c r="N131" s="4"/>
      <c r="O131" s="4">
        <v>1</v>
      </c>
      <c r="P131" s="4">
        <v>1.64012171991413</v>
      </c>
    </row>
    <row r="132" spans="1:16" x14ac:dyDescent="0.3">
      <c r="A132" s="12" t="str">
        <f>IFERROR(IF(D132="","",C132&amp;"_"&amp;
IF($D132=외피index!$B$3, 외피index!$C$3&amp;"_"&amp;COUNTIFS(D$2:$D132,외피index!$B$3,C$2:$C132,C132),
IF($D132=외피index!$B$4, 외피index!$C$4&amp;"_"&amp;COUNTIFS(D$2:$D132,외피index!$B$4,C$2:$C132,C132),
IF($D132=외피index!$B$5, 외피index!$C$5&amp;"_"&amp;COUNTIFS(D$2:$D132,외피index!$B$5,C$2:$C132,C132),
IF($D132=외피index!$B$6, 외피index!$C$6&amp;"_"&amp;COUNTIFS(D$2:$D132,외피index!$B$6,C$2:$C132,C132),
IF($D132=외피index!$B$7, 외피index!$C$7&amp;"_"&amp;COUNTIFS(D$2:$D132,외피index!$B$7,C$2:$C132,C132),
IF($D132=외피index!$B$8, 외피index!$C$8&amp;"_"&amp;COUNTIFS(D$2:$D132,외피index!$B$8,C$2:$C132,C132),
IF($D132=외피index!$B$9, 외피index!$C$9&amp;"_"&amp;COUNTIFS(D$2:$D132,외피index!$B$9,C$2:$C132,C132),
IF($D132=외피index!$B$10, 외피index!$C$10&amp;"_"&amp;COUNTIFS(D$2:$D132,외피index!$B$10,C$2:$C132,C132), 0))))))))),"")</f>
        <v>1F_Zone003_WIN_2</v>
      </c>
      <c r="B132" s="13" t="s">
        <v>37</v>
      </c>
      <c r="C132" s="13" t="s">
        <v>39</v>
      </c>
      <c r="D132" s="13" t="s">
        <v>48</v>
      </c>
      <c r="E132" s="4"/>
      <c r="F132" s="3">
        <v>0.25</v>
      </c>
      <c r="G132" s="4"/>
      <c r="H132" s="13" t="s">
        <v>52</v>
      </c>
      <c r="I132" s="3">
        <v>90</v>
      </c>
      <c r="J132" s="4">
        <v>0</v>
      </c>
      <c r="K132" s="4">
        <v>1.19999694824218</v>
      </c>
      <c r="L132" s="4">
        <v>0</v>
      </c>
      <c r="M132" s="4">
        <v>3.4499998092651301</v>
      </c>
      <c r="N132" s="4"/>
      <c r="O132" s="4">
        <v>1</v>
      </c>
      <c r="P132" s="4">
        <v>1.03077640640441</v>
      </c>
    </row>
    <row r="133" spans="1:16" x14ac:dyDescent="0.3">
      <c r="A133" s="12" t="str">
        <f>IFERROR(IF(D133="","",C133&amp;"_"&amp;
IF($D133=외피index!$B$3, 외피index!$C$3&amp;"_"&amp;COUNTIFS(D$2:$D133,외피index!$B$3,C$2:$C133,C133),
IF($D133=외피index!$B$4, 외피index!$C$4&amp;"_"&amp;COUNTIFS(D$2:$D133,외피index!$B$4,C$2:$C133,C133),
IF($D133=외피index!$B$5, 외피index!$C$5&amp;"_"&amp;COUNTIFS(D$2:$D133,외피index!$B$5,C$2:$C133,C133),
IF($D133=외피index!$B$6, 외피index!$C$6&amp;"_"&amp;COUNTIFS(D$2:$D133,외피index!$B$6,C$2:$C133,C133),
IF($D133=외피index!$B$7, 외피index!$C$7&amp;"_"&amp;COUNTIFS(D$2:$D133,외피index!$B$7,C$2:$C133,C133),
IF($D133=외피index!$B$8, 외피index!$C$8&amp;"_"&amp;COUNTIFS(D$2:$D133,외피index!$B$8,C$2:$C133,C133),
IF($D133=외피index!$B$9, 외피index!$C$9&amp;"_"&amp;COUNTIFS(D$2:$D133,외피index!$B$9,C$2:$C133,C133),
IF($D133=외피index!$B$10, 외피index!$C$10&amp;"_"&amp;COUNTIFS(D$2:$D133,외피index!$B$10,C$2:$C133,C133), 0))))))))),"")</f>
        <v>1F_Zone003_CW_1</v>
      </c>
      <c r="B133" s="13" t="s">
        <v>37</v>
      </c>
      <c r="C133" s="13" t="s">
        <v>39</v>
      </c>
      <c r="D133" s="13" t="s">
        <v>49</v>
      </c>
      <c r="E133" s="4" t="s">
        <v>50</v>
      </c>
      <c r="F133" s="3">
        <v>2.18702230739654</v>
      </c>
      <c r="G133" s="4"/>
      <c r="H133" s="13" t="s">
        <v>52</v>
      </c>
      <c r="I133" s="3">
        <v>90</v>
      </c>
      <c r="J133" s="4">
        <v>0</v>
      </c>
      <c r="K133" s="4">
        <v>1.19999694824218</v>
      </c>
      <c r="L133" s="4">
        <v>0</v>
      </c>
      <c r="M133" s="4">
        <v>0</v>
      </c>
      <c r="N133" s="4"/>
      <c r="O133" s="4">
        <v>0.90000915527343694</v>
      </c>
      <c r="P133" s="4">
        <v>2.5913156511733599</v>
      </c>
    </row>
    <row r="134" spans="1:16" x14ac:dyDescent="0.3">
      <c r="A134" s="12" t="str">
        <f>IFERROR(IF(D134="","",C134&amp;"_"&amp;
IF($D134=외피index!$B$3, 외피index!$C$3&amp;"_"&amp;COUNTIFS(D$2:$D134,외피index!$B$3,C$2:$C134,C134),
IF($D134=외피index!$B$4, 외피index!$C$4&amp;"_"&amp;COUNTIFS(D$2:$D134,외피index!$B$4,C$2:$C134,C134),
IF($D134=외피index!$B$5, 외피index!$C$5&amp;"_"&amp;COUNTIFS(D$2:$D134,외피index!$B$5,C$2:$C134,C134),
IF($D134=외피index!$B$6, 외피index!$C$6&amp;"_"&amp;COUNTIFS(D$2:$D134,외피index!$B$6,C$2:$C134,C134),
IF($D134=외피index!$B$7, 외피index!$C$7&amp;"_"&amp;COUNTIFS(D$2:$D134,외피index!$B$7,C$2:$C134,C134),
IF($D134=외피index!$B$8, 외피index!$C$8&amp;"_"&amp;COUNTIFS(D$2:$D134,외피index!$B$8,C$2:$C134,C134),
IF($D134=외피index!$B$9, 외피index!$C$9&amp;"_"&amp;COUNTIFS(D$2:$D134,외피index!$B$9,C$2:$C134,C134),
IF($D134=외피index!$B$10, 외피index!$C$10&amp;"_"&amp;COUNTIFS(D$2:$D134,외피index!$B$10,C$2:$C134,C134), 0))))))))),"")</f>
        <v>4F_Zone021_WIN_1</v>
      </c>
      <c r="B134" s="13" t="s">
        <v>41</v>
      </c>
      <c r="C134" s="13" t="s">
        <v>36</v>
      </c>
      <c r="D134" s="13" t="s">
        <v>48</v>
      </c>
      <c r="E134" s="4"/>
      <c r="F134" s="3">
        <v>1.30000019073486</v>
      </c>
      <c r="G134" s="4"/>
      <c r="H134" s="13" t="s">
        <v>52</v>
      </c>
      <c r="I134" s="3">
        <v>90</v>
      </c>
      <c r="J134" s="4">
        <v>0</v>
      </c>
      <c r="K134" s="4">
        <v>0</v>
      </c>
      <c r="L134" s="4">
        <v>0</v>
      </c>
      <c r="M134" s="4">
        <v>0</v>
      </c>
      <c r="N134" s="4"/>
      <c r="O134" s="4">
        <v>1</v>
      </c>
      <c r="P134" s="4">
        <v>1.6401220978666999</v>
      </c>
    </row>
    <row r="135" spans="1:16" x14ac:dyDescent="0.3">
      <c r="A135" s="12" t="str">
        <f>IFERROR(IF(D135="","",C135&amp;"_"&amp;
IF($D135=외피index!$B$3, 외피index!$C$3&amp;"_"&amp;COUNTIFS(D$2:$D135,외피index!$B$3,C$2:$C135,C135),
IF($D135=외피index!$B$4, 외피index!$C$4&amp;"_"&amp;COUNTIFS(D$2:$D135,외피index!$B$4,C$2:$C135,C135),
IF($D135=외피index!$B$5, 외피index!$C$5&amp;"_"&amp;COUNTIFS(D$2:$D135,외피index!$B$5,C$2:$C135,C135),
IF($D135=외피index!$B$6, 외피index!$C$6&amp;"_"&amp;COUNTIFS(D$2:$D135,외피index!$B$6,C$2:$C135,C135),
IF($D135=외피index!$B$7, 외피index!$C$7&amp;"_"&amp;COUNTIFS(D$2:$D135,외피index!$B$7,C$2:$C135,C135),
IF($D135=외피index!$B$8, 외피index!$C$8&amp;"_"&amp;COUNTIFS(D$2:$D135,외피index!$B$8,C$2:$C135,C135),
IF($D135=외피index!$B$9, 외피index!$C$9&amp;"_"&amp;COUNTIFS(D$2:$D135,외피index!$B$9,C$2:$C135,C135),
IF($D135=외피index!$B$10, 외피index!$C$10&amp;"_"&amp;COUNTIFS(D$2:$D135,외피index!$B$10,C$2:$C135,C135), 0))))))))),"")</f>
        <v>2F_Zone008_WIN_1</v>
      </c>
      <c r="B135" s="13" t="s">
        <v>16</v>
      </c>
      <c r="C135" s="13" t="s">
        <v>25</v>
      </c>
      <c r="D135" s="13" t="s">
        <v>48</v>
      </c>
      <c r="E135" s="4"/>
      <c r="F135" s="3">
        <v>0.25</v>
      </c>
      <c r="G135" s="4"/>
      <c r="H135" s="13" t="s">
        <v>52</v>
      </c>
      <c r="I135" s="3">
        <v>90</v>
      </c>
      <c r="J135" s="4">
        <v>0</v>
      </c>
      <c r="K135" s="4">
        <v>1.19999694824218</v>
      </c>
      <c r="L135" s="4">
        <v>0</v>
      </c>
      <c r="M135" s="4">
        <v>0.25</v>
      </c>
      <c r="N135" s="4"/>
      <c r="O135" s="4">
        <v>1</v>
      </c>
      <c r="P135" s="4">
        <v>1.03077640640441</v>
      </c>
    </row>
    <row r="136" spans="1:16" x14ac:dyDescent="0.3">
      <c r="A136" s="12" t="str">
        <f>IFERROR(IF(D136="","",C136&amp;"_"&amp;
IF($D136=외피index!$B$3, 외피index!$C$3&amp;"_"&amp;COUNTIFS(D$2:$D136,외피index!$B$3,C$2:$C136,C136),
IF($D136=외피index!$B$4, 외피index!$C$4&amp;"_"&amp;COUNTIFS(D$2:$D136,외피index!$B$4,C$2:$C136,C136),
IF($D136=외피index!$B$5, 외피index!$C$5&amp;"_"&amp;COUNTIFS(D$2:$D136,외피index!$B$5,C$2:$C136,C136),
IF($D136=외피index!$B$6, 외피index!$C$6&amp;"_"&amp;COUNTIFS(D$2:$D136,외피index!$B$6,C$2:$C136,C136),
IF($D136=외피index!$B$7, 외피index!$C$7&amp;"_"&amp;COUNTIFS(D$2:$D136,외피index!$B$7,C$2:$C136,C136),
IF($D136=외피index!$B$8, 외피index!$C$8&amp;"_"&amp;COUNTIFS(D$2:$D136,외피index!$B$8,C$2:$C136,C136),
IF($D136=외피index!$B$9, 외피index!$C$9&amp;"_"&amp;COUNTIFS(D$2:$D136,외피index!$B$9,C$2:$C136,C136),
IF($D136=외피index!$B$10, 외피index!$C$10&amp;"_"&amp;COUNTIFS(D$2:$D136,외피index!$B$10,C$2:$C136,C136), 0))))))))),"")</f>
        <v>2F_Zone008_WIN_2</v>
      </c>
      <c r="B136" s="13" t="s">
        <v>16</v>
      </c>
      <c r="C136" s="13" t="s">
        <v>25</v>
      </c>
      <c r="D136" s="13" t="s">
        <v>48</v>
      </c>
      <c r="E136" s="4"/>
      <c r="F136" s="3">
        <v>1.2999997138977</v>
      </c>
      <c r="G136" s="4"/>
      <c r="H136" s="13" t="s">
        <v>52</v>
      </c>
      <c r="I136" s="3">
        <v>90</v>
      </c>
      <c r="J136" s="4">
        <v>0</v>
      </c>
      <c r="K136" s="4">
        <v>1.19999694824218</v>
      </c>
      <c r="L136" s="4">
        <v>0</v>
      </c>
      <c r="M136" s="4">
        <v>3.1999998092651301</v>
      </c>
      <c r="N136" s="4"/>
      <c r="O136" s="4">
        <v>1</v>
      </c>
      <c r="P136" s="4">
        <v>1.64012171991413</v>
      </c>
    </row>
    <row r="137" spans="1:16" x14ac:dyDescent="0.3">
      <c r="A137" s="12" t="str">
        <f>IFERROR(IF(D137="","",C137&amp;"_"&amp;
IF($D137=외피index!$B$3, 외피index!$C$3&amp;"_"&amp;COUNTIFS(D$2:$D137,외피index!$B$3,C$2:$C137,C137),
IF($D137=외피index!$B$4, 외피index!$C$4&amp;"_"&amp;COUNTIFS(D$2:$D137,외피index!$B$4,C$2:$C137,C137),
IF($D137=외피index!$B$5, 외피index!$C$5&amp;"_"&amp;COUNTIFS(D$2:$D137,외피index!$B$5,C$2:$C137,C137),
IF($D137=외피index!$B$6, 외피index!$C$6&amp;"_"&amp;COUNTIFS(D$2:$D137,외피index!$B$6,C$2:$C137,C137),
IF($D137=외피index!$B$7, 외피index!$C$7&amp;"_"&amp;COUNTIFS(D$2:$D137,외피index!$B$7,C$2:$C137,C137),
IF($D137=외피index!$B$8, 외피index!$C$8&amp;"_"&amp;COUNTIFS(D$2:$D137,외피index!$B$8,C$2:$C137,C137),
IF($D137=외피index!$B$9, 외피index!$C$9&amp;"_"&amp;COUNTIFS(D$2:$D137,외피index!$B$9,C$2:$C137,C137),
IF($D137=외피index!$B$10, 외피index!$C$10&amp;"_"&amp;COUNTIFS(D$2:$D137,외피index!$B$10,C$2:$C137,C137), 0))))))))),"")</f>
        <v>1F_Zone003_IW_2</v>
      </c>
      <c r="B137" s="13" t="s">
        <v>37</v>
      </c>
      <c r="C137" s="13" t="s">
        <v>39</v>
      </c>
      <c r="D137" s="13" t="s">
        <v>45</v>
      </c>
      <c r="E137" s="4"/>
      <c r="F137" s="3">
        <v>30.800000667572</v>
      </c>
      <c r="G137" s="4" t="s">
        <v>38</v>
      </c>
      <c r="H137" s="13" t="s">
        <v>53</v>
      </c>
      <c r="I137" s="3">
        <v>90</v>
      </c>
      <c r="J137" s="4"/>
      <c r="K137" s="4"/>
      <c r="L137" s="4"/>
      <c r="M137" s="4"/>
      <c r="N137" s="4">
        <v>7</v>
      </c>
      <c r="O137" s="4"/>
      <c r="P137" s="4"/>
    </row>
    <row r="138" spans="1:16" x14ac:dyDescent="0.3">
      <c r="A138" s="12" t="str">
        <f>IFERROR(IF(D138="","",C138&amp;"_"&amp;
IF($D138=외피index!$B$3, 외피index!$C$3&amp;"_"&amp;COUNTIFS(D$2:$D138,외피index!$B$3,C$2:$C138,C138),
IF($D138=외피index!$B$4, 외피index!$C$4&amp;"_"&amp;COUNTIFS(D$2:$D138,외피index!$B$4,C$2:$C138,C138),
IF($D138=외피index!$B$5, 외피index!$C$5&amp;"_"&amp;COUNTIFS(D$2:$D138,외피index!$B$5,C$2:$C138,C138),
IF($D138=외피index!$B$6, 외피index!$C$6&amp;"_"&amp;COUNTIFS(D$2:$D138,외피index!$B$6,C$2:$C138,C138),
IF($D138=외피index!$B$7, 외피index!$C$7&amp;"_"&amp;COUNTIFS(D$2:$D138,외피index!$B$7,C$2:$C138,C138),
IF($D138=외피index!$B$8, 외피index!$C$8&amp;"_"&amp;COUNTIFS(D$2:$D138,외피index!$B$8,C$2:$C138,C138),
IF($D138=외피index!$B$9, 외피index!$C$9&amp;"_"&amp;COUNTIFS(D$2:$D138,외피index!$B$9,C$2:$C138,C138),
IF($D138=외피index!$B$10, 외피index!$C$10&amp;"_"&amp;COUNTIFS(D$2:$D138,외피index!$B$10,C$2:$C138,C138), 0))))))))),"")</f>
        <v>2F_Zone008_IW_3</v>
      </c>
      <c r="B138" s="13" t="s">
        <v>16</v>
      </c>
      <c r="C138" s="13" t="s">
        <v>25</v>
      </c>
      <c r="D138" s="13" t="s">
        <v>45</v>
      </c>
      <c r="E138" s="4"/>
      <c r="F138" s="3">
        <v>22.3999986648559</v>
      </c>
      <c r="G138" s="4" t="s">
        <v>17</v>
      </c>
      <c r="H138" s="13" t="s">
        <v>53</v>
      </c>
      <c r="I138" s="3">
        <v>90</v>
      </c>
      <c r="J138" s="4"/>
      <c r="K138" s="4"/>
      <c r="L138" s="4"/>
      <c r="M138" s="4"/>
      <c r="N138" s="4">
        <v>7</v>
      </c>
      <c r="O138" s="4"/>
      <c r="P138" s="4"/>
    </row>
    <row r="139" spans="1:16" x14ac:dyDescent="0.3">
      <c r="A139" s="12" t="str">
        <f>IFERROR(IF(D139="","",C139&amp;"_"&amp;
IF($D139=외피index!$B$3, 외피index!$C$3&amp;"_"&amp;COUNTIFS(D$2:$D139,외피index!$B$3,C$2:$C139,C139),
IF($D139=외피index!$B$4, 외피index!$C$4&amp;"_"&amp;COUNTIFS(D$2:$D139,외피index!$B$4,C$2:$C139,C139),
IF($D139=외피index!$B$5, 외피index!$C$5&amp;"_"&amp;COUNTIFS(D$2:$D139,외피index!$B$5,C$2:$C139,C139),
IF($D139=외피index!$B$6, 외피index!$C$6&amp;"_"&amp;COUNTIFS(D$2:$D139,외피index!$B$6,C$2:$C139,C139),
IF($D139=외피index!$B$7, 외피index!$C$7&amp;"_"&amp;COUNTIFS(D$2:$D139,외피index!$B$7,C$2:$C139,C139),
IF($D139=외피index!$B$8, 외피index!$C$8&amp;"_"&amp;COUNTIFS(D$2:$D139,외피index!$B$8,C$2:$C139,C139),
IF($D139=외피index!$B$9, 외피index!$C$9&amp;"_"&amp;COUNTIFS(D$2:$D139,외피index!$B$9,C$2:$C139,C139),
IF($D139=외피index!$B$10, 외피index!$C$10&amp;"_"&amp;COUNTIFS(D$2:$D139,외피index!$B$10,C$2:$C139,C139), 0))))))))),"")</f>
        <v>4F_Zone021_WL_3</v>
      </c>
      <c r="B139" s="13" t="s">
        <v>41</v>
      </c>
      <c r="C139" s="13" t="s">
        <v>36</v>
      </c>
      <c r="D139" s="13" t="s">
        <v>47</v>
      </c>
      <c r="E139" s="4"/>
      <c r="F139" s="3">
        <v>17.710014667507401</v>
      </c>
      <c r="G139" s="4"/>
      <c r="H139" s="13" t="s">
        <v>53</v>
      </c>
      <c r="I139" s="3">
        <v>90</v>
      </c>
      <c r="J139" s="4"/>
      <c r="K139" s="4"/>
      <c r="L139" s="4"/>
      <c r="M139" s="4"/>
      <c r="N139" s="4">
        <v>7</v>
      </c>
      <c r="O139" s="4"/>
      <c r="P139" s="4"/>
    </row>
    <row r="140" spans="1:16" x14ac:dyDescent="0.3">
      <c r="A140" s="12" t="str">
        <f>IFERROR(IF(D140="","",C140&amp;"_"&amp;
IF($D140=외피index!$B$3, 외피index!$C$3&amp;"_"&amp;COUNTIFS(D$2:$D140,외피index!$B$3,C$2:$C140,C140),
IF($D140=외피index!$B$4, 외피index!$C$4&amp;"_"&amp;COUNTIFS(D$2:$D140,외피index!$B$4,C$2:$C140,C140),
IF($D140=외피index!$B$5, 외피index!$C$5&amp;"_"&amp;COUNTIFS(D$2:$D140,외피index!$B$5,C$2:$C140,C140),
IF($D140=외피index!$B$6, 외피index!$C$6&amp;"_"&amp;COUNTIFS(D$2:$D140,외피index!$B$6,C$2:$C140,C140),
IF($D140=외피index!$B$7, 외피index!$C$7&amp;"_"&amp;COUNTIFS(D$2:$D140,외피index!$B$7,C$2:$C140,C140),
IF($D140=외피index!$B$8, 외피index!$C$8&amp;"_"&amp;COUNTIFS(D$2:$D140,외피index!$B$8,C$2:$C140,C140),
IF($D140=외피index!$B$9, 외피index!$C$9&amp;"_"&amp;COUNTIFS(D$2:$D140,외피index!$B$9,C$2:$C140,C140),
IF($D140=외피index!$B$10, 외피index!$C$10&amp;"_"&amp;COUNTIFS(D$2:$D140,외피index!$B$10,C$2:$C140,C140), 0))))))))),"")</f>
        <v>3F_Zone019_IW_4</v>
      </c>
      <c r="B140" s="13" t="s">
        <v>35</v>
      </c>
      <c r="C140" s="13" t="s">
        <v>31</v>
      </c>
      <c r="D140" s="13" t="s">
        <v>45</v>
      </c>
      <c r="E140" s="4"/>
      <c r="F140" s="3">
        <v>14.5120130162249</v>
      </c>
      <c r="G140" s="4" t="s">
        <v>22</v>
      </c>
      <c r="H140" s="13" t="s">
        <v>53</v>
      </c>
      <c r="I140" s="3">
        <v>90</v>
      </c>
      <c r="J140" s="4"/>
      <c r="K140" s="4"/>
      <c r="L140" s="4"/>
      <c r="M140" s="4"/>
      <c r="N140" s="4">
        <v>4.5350036621093697</v>
      </c>
      <c r="O140" s="4"/>
      <c r="P140" s="4"/>
    </row>
    <row r="141" spans="1:16" x14ac:dyDescent="0.3">
      <c r="A141" s="12" t="str">
        <f>IFERROR(IF(D141="","",C141&amp;"_"&amp;
IF($D141=외피index!$B$3, 외피index!$C$3&amp;"_"&amp;COUNTIFS(D$2:$D141,외피index!$B$3,C$2:$C141,C141),
IF($D141=외피index!$B$4, 외피index!$C$4&amp;"_"&amp;COUNTIFS(D$2:$D141,외피index!$B$4,C$2:$C141,C141),
IF($D141=외피index!$B$5, 외피index!$C$5&amp;"_"&amp;COUNTIFS(D$2:$D141,외피index!$B$5,C$2:$C141,C141),
IF($D141=외피index!$B$6, 외피index!$C$6&amp;"_"&amp;COUNTIFS(D$2:$D141,외피index!$B$6,C$2:$C141,C141),
IF($D141=외피index!$B$7, 외피index!$C$7&amp;"_"&amp;COUNTIFS(D$2:$D141,외피index!$B$7,C$2:$C141,C141),
IF($D141=외피index!$B$8, 외피index!$C$8&amp;"_"&amp;COUNTIFS(D$2:$D141,외피index!$B$8,C$2:$C141,C141),
IF($D141=외피index!$B$9, 외피index!$C$9&amp;"_"&amp;COUNTIFS(D$2:$D141,외피index!$B$9,C$2:$C141,C141),
IF($D141=외피index!$B$10, 외피index!$C$10&amp;"_"&amp;COUNTIFS(D$2:$D141,외피index!$B$10,C$2:$C141,C141), 0))))))))),"")</f>
        <v>3F_Zone016_IW_5</v>
      </c>
      <c r="B141" s="13" t="s">
        <v>35</v>
      </c>
      <c r="C141" s="13" t="s">
        <v>26</v>
      </c>
      <c r="D141" s="13" t="s">
        <v>45</v>
      </c>
      <c r="E141" s="4"/>
      <c r="F141" s="3">
        <v>13.440040264133099</v>
      </c>
      <c r="G141" s="4" t="s">
        <v>19</v>
      </c>
      <c r="H141" s="13" t="s">
        <v>53</v>
      </c>
      <c r="I141" s="3">
        <v>90</v>
      </c>
      <c r="J141" s="4"/>
      <c r="K141" s="4"/>
      <c r="L141" s="4"/>
      <c r="M141" s="4"/>
      <c r="N141" s="4">
        <v>4.20001220703125</v>
      </c>
      <c r="O141" s="4"/>
      <c r="P141" s="4"/>
    </row>
    <row r="142" spans="1:16" x14ac:dyDescent="0.3">
      <c r="A142" s="12" t="str">
        <f>IFERROR(IF(D142="","",C142&amp;"_"&amp;
IF($D142=외피index!$B$3, 외피index!$C$3&amp;"_"&amp;COUNTIFS(D$2:$D142,외피index!$B$3,C$2:$C142,C142),
IF($D142=외피index!$B$4, 외피index!$C$4&amp;"_"&amp;COUNTIFS(D$2:$D142,외피index!$B$4,C$2:$C142,C142),
IF($D142=외피index!$B$5, 외피index!$C$5&amp;"_"&amp;COUNTIFS(D$2:$D142,외피index!$B$5,C$2:$C142,C142),
IF($D142=외피index!$B$6, 외피index!$C$6&amp;"_"&amp;COUNTIFS(D$2:$D142,외피index!$B$6,C$2:$C142,C142),
IF($D142=외피index!$B$7, 외피index!$C$7&amp;"_"&amp;COUNTIFS(D$2:$D142,외피index!$B$7,C$2:$C142,C142),
IF($D142=외피index!$B$8, 외피index!$C$8&amp;"_"&amp;COUNTIFS(D$2:$D142,외피index!$B$8,C$2:$C142,C142),
IF($D142=외피index!$B$9, 외피index!$C$9&amp;"_"&amp;COUNTIFS(D$2:$D142,외피index!$B$9,C$2:$C142,C142),
IF($D142=외피index!$B$10, 외피index!$C$10&amp;"_"&amp;COUNTIFS(D$2:$D142,외피index!$B$10,C$2:$C142,C142), 0))))))))),"")</f>
        <v>2F_Zone008_IW_4</v>
      </c>
      <c r="B142" s="13" t="s">
        <v>16</v>
      </c>
      <c r="C142" s="13" t="s">
        <v>25</v>
      </c>
      <c r="D142" s="13" t="s">
        <v>45</v>
      </c>
      <c r="E142" s="4"/>
      <c r="F142" s="3">
        <v>8.6400385475135408</v>
      </c>
      <c r="G142" s="4" t="s">
        <v>27</v>
      </c>
      <c r="H142" s="13" t="s">
        <v>53</v>
      </c>
      <c r="I142" s="3">
        <v>90</v>
      </c>
      <c r="J142" s="4"/>
      <c r="K142" s="4"/>
      <c r="L142" s="4"/>
      <c r="M142" s="4"/>
      <c r="N142" s="4">
        <v>2.70001220703125</v>
      </c>
      <c r="O142" s="4"/>
      <c r="P142" s="4"/>
    </row>
    <row r="143" spans="1:16" x14ac:dyDescent="0.3">
      <c r="A143" s="12" t="str">
        <f>IFERROR(IF(D143="","",C143&amp;"_"&amp;
IF($D143=외피index!$B$3, 외피index!$C$3&amp;"_"&amp;COUNTIFS(D$2:$D143,외피index!$B$3,C$2:$C143,C143),
IF($D143=외피index!$B$4, 외피index!$C$4&amp;"_"&amp;COUNTIFS(D$2:$D143,외피index!$B$4,C$2:$C143,C143),
IF($D143=외피index!$B$5, 외피index!$C$5&amp;"_"&amp;COUNTIFS(D$2:$D143,외피index!$B$5,C$2:$C143,C143),
IF($D143=외피index!$B$6, 외피index!$C$6&amp;"_"&amp;COUNTIFS(D$2:$D143,외피index!$B$6,C$2:$C143,C143),
IF($D143=외피index!$B$7, 외피index!$C$7&amp;"_"&amp;COUNTIFS(D$2:$D143,외피index!$B$7,C$2:$C143,C143),
IF($D143=외피index!$B$8, 외피index!$C$8&amp;"_"&amp;COUNTIFS(D$2:$D143,외피index!$B$8,C$2:$C143,C143),
IF($D143=외피index!$B$9, 외피index!$C$9&amp;"_"&amp;COUNTIFS(D$2:$D143,외피index!$B$9,C$2:$C143,C143),
IF($D143=외피index!$B$10, 외피index!$C$10&amp;"_"&amp;COUNTIFS(D$2:$D143,외피index!$B$10,C$2:$C143,C143), 0))))))))),"")</f>
        <v>3F_Zone020_IW_2</v>
      </c>
      <c r="B143" s="13" t="s">
        <v>35</v>
      </c>
      <c r="C143" s="13" t="s">
        <v>33</v>
      </c>
      <c r="D143" s="13" t="s">
        <v>45</v>
      </c>
      <c r="E143" s="4"/>
      <c r="F143" s="3">
        <v>8.2080085463530796</v>
      </c>
      <c r="G143" s="4" t="s">
        <v>22</v>
      </c>
      <c r="H143" s="13" t="s">
        <v>53</v>
      </c>
      <c r="I143" s="3">
        <v>90</v>
      </c>
      <c r="J143" s="4"/>
      <c r="K143" s="4"/>
      <c r="L143" s="4"/>
      <c r="M143" s="4"/>
      <c r="N143" s="4">
        <v>2.56500244140625</v>
      </c>
      <c r="O143" s="4"/>
      <c r="P143" s="4"/>
    </row>
    <row r="144" spans="1:16" x14ac:dyDescent="0.3">
      <c r="A144" s="12" t="str">
        <f>IFERROR(IF(D144="","",C144&amp;"_"&amp;
IF($D144=외피index!$B$3, 외피index!$C$3&amp;"_"&amp;COUNTIFS(D$2:$D144,외피index!$B$3,C$2:$C144,C144),
IF($D144=외피index!$B$4, 외피index!$C$4&amp;"_"&amp;COUNTIFS(D$2:$D144,외피index!$B$4,C$2:$C144,C144),
IF($D144=외피index!$B$5, 외피index!$C$5&amp;"_"&amp;COUNTIFS(D$2:$D144,외피index!$B$5,C$2:$C144,C144),
IF($D144=외피index!$B$6, 외피index!$C$6&amp;"_"&amp;COUNTIFS(D$2:$D144,외피index!$B$6,C$2:$C144,C144),
IF($D144=외피index!$B$7, 외피index!$C$7&amp;"_"&amp;COUNTIFS(D$2:$D144,외피index!$B$7,C$2:$C144,C144),
IF($D144=외피index!$B$8, 외피index!$C$8&amp;"_"&amp;COUNTIFS(D$2:$D144,외피index!$B$8,C$2:$C144,C144),
IF($D144=외피index!$B$9, 외피index!$C$9&amp;"_"&amp;COUNTIFS(D$2:$D144,외피index!$B$9,C$2:$C144,C144),
IF($D144=외피index!$B$10, 외피index!$C$10&amp;"_"&amp;COUNTIFS(D$2:$D144,외피index!$B$10,C$2:$C144,C144), 0))))))))),"")</f>
        <v>2F_Zone008_IW_5</v>
      </c>
      <c r="B144" s="13" t="s">
        <v>16</v>
      </c>
      <c r="C144" s="13" t="s">
        <v>25</v>
      </c>
      <c r="D144" s="13" t="s">
        <v>45</v>
      </c>
      <c r="E144" s="4"/>
      <c r="F144" s="3">
        <v>7.6799800109874896</v>
      </c>
      <c r="G144" s="4" t="s">
        <v>21</v>
      </c>
      <c r="H144" s="13" t="s">
        <v>53</v>
      </c>
      <c r="I144" s="3">
        <v>90</v>
      </c>
      <c r="J144" s="4"/>
      <c r="K144" s="4"/>
      <c r="L144" s="4"/>
      <c r="M144" s="4"/>
      <c r="N144" s="4">
        <v>2.3999938964843701</v>
      </c>
      <c r="O144" s="4"/>
      <c r="P144" s="4"/>
    </row>
    <row r="145" spans="1:16" x14ac:dyDescent="0.3">
      <c r="A145" s="12" t="str">
        <f>IFERROR(IF(D145="","",C145&amp;"_"&amp;
IF($D145=외피index!$B$3, 외피index!$C$3&amp;"_"&amp;COUNTIFS(D$2:$D145,외피index!$B$3,C$2:$C145,C145),
IF($D145=외피index!$B$4, 외피index!$C$4&amp;"_"&amp;COUNTIFS(D$2:$D145,외피index!$B$4,C$2:$C145,C145),
IF($D145=외피index!$B$5, 외피index!$C$5&amp;"_"&amp;COUNTIFS(D$2:$D145,외피index!$B$5,C$2:$C145,C145),
IF($D145=외피index!$B$6, 외피index!$C$6&amp;"_"&amp;COUNTIFS(D$2:$D145,외피index!$B$6,C$2:$C145,C145),
IF($D145=외피index!$B$7, 외피index!$C$7&amp;"_"&amp;COUNTIFS(D$2:$D145,외피index!$B$7,C$2:$C145,C145),
IF($D145=외피index!$B$8, 외피index!$C$8&amp;"_"&amp;COUNTIFS(D$2:$D145,외피index!$B$8,C$2:$C145,C145),
IF($D145=외피index!$B$9, 외피index!$C$9&amp;"_"&amp;COUNTIFS(D$2:$D145,외피index!$B$9,C$2:$C145,C145),
IF($D145=외피index!$B$10, 외피index!$C$10&amp;"_"&amp;COUNTIFS(D$2:$D145,외피index!$B$10,C$2:$C145,C145), 0))))))))),"")</f>
        <v>2F_Zone013_IW_3</v>
      </c>
      <c r="B145" s="13" t="s">
        <v>16</v>
      </c>
      <c r="C145" s="13" t="s">
        <v>32</v>
      </c>
      <c r="D145" s="13" t="s">
        <v>45</v>
      </c>
      <c r="E145" s="4"/>
      <c r="F145" s="3">
        <v>6.3999996185302699</v>
      </c>
      <c r="G145" s="4" t="s">
        <v>21</v>
      </c>
      <c r="H145" s="13" t="s">
        <v>53</v>
      </c>
      <c r="I145" s="3">
        <v>90</v>
      </c>
      <c r="J145" s="4"/>
      <c r="K145" s="4"/>
      <c r="L145" s="4"/>
      <c r="M145" s="4"/>
      <c r="N145" s="4">
        <v>2</v>
      </c>
      <c r="O145" s="4"/>
      <c r="P145" s="4"/>
    </row>
    <row r="146" spans="1:16" x14ac:dyDescent="0.3">
      <c r="A146" s="12" t="str">
        <f>IFERROR(IF(D146="","",C146&amp;"_"&amp;
IF($D146=외피index!$B$3, 외피index!$C$3&amp;"_"&amp;COUNTIFS(D$2:$D146,외피index!$B$3,C$2:$C146,C146),
IF($D146=외피index!$B$4, 외피index!$C$4&amp;"_"&amp;COUNTIFS(D$2:$D146,외피index!$B$4,C$2:$C146,C146),
IF($D146=외피index!$B$5, 외피index!$C$5&amp;"_"&amp;COUNTIFS(D$2:$D146,외피index!$B$5,C$2:$C146,C146),
IF($D146=외피index!$B$6, 외피index!$C$6&amp;"_"&amp;COUNTIFS(D$2:$D146,외피index!$B$6,C$2:$C146,C146),
IF($D146=외피index!$B$7, 외피index!$C$7&amp;"_"&amp;COUNTIFS(D$2:$D146,외피index!$B$7,C$2:$C146,C146),
IF($D146=외피index!$B$8, 외피index!$C$8&amp;"_"&amp;COUNTIFS(D$2:$D146,외피index!$B$8,C$2:$C146,C146),
IF($D146=외피index!$B$9, 외피index!$C$9&amp;"_"&amp;COUNTIFS(D$2:$D146,외피index!$B$9,C$2:$C146,C146),
IF($D146=외피index!$B$10, 외피index!$C$10&amp;"_"&amp;COUNTIFS(D$2:$D146,외피index!$B$10,C$2:$C146,C146), 0))))))))),"")</f>
        <v>2F_Zone011_IW_2</v>
      </c>
      <c r="B146" s="13" t="s">
        <v>16</v>
      </c>
      <c r="C146" s="13" t="s">
        <v>23</v>
      </c>
      <c r="D146" s="13" t="s">
        <v>45</v>
      </c>
      <c r="E146" s="4"/>
      <c r="F146" s="3">
        <v>22.3999986648559</v>
      </c>
      <c r="G146" s="4" t="s">
        <v>25</v>
      </c>
      <c r="H146" s="13" t="s">
        <v>53</v>
      </c>
      <c r="I146" s="3">
        <v>90</v>
      </c>
      <c r="J146" s="4"/>
      <c r="K146" s="4"/>
      <c r="L146" s="4"/>
      <c r="M146" s="4"/>
      <c r="N146" s="4">
        <v>7</v>
      </c>
      <c r="O146" s="4"/>
      <c r="P146" s="4"/>
    </row>
    <row r="147" spans="1:16" x14ac:dyDescent="0.3">
      <c r="A147" s="12" t="str">
        <f>IFERROR(IF(D147="","",C147&amp;"_"&amp;
IF($D147=외피index!$B$3, 외피index!$C$3&amp;"_"&amp;COUNTIFS(D$2:$D147,외피index!$B$3,C$2:$C147,C147),
IF($D147=외피index!$B$4, 외피index!$C$4&amp;"_"&amp;COUNTIFS(D$2:$D147,외피index!$B$4,C$2:$C147,C147),
IF($D147=외피index!$B$5, 외피index!$C$5&amp;"_"&amp;COUNTIFS(D$2:$D147,외피index!$B$5,C$2:$C147,C147),
IF($D147=외피index!$B$6, 외피index!$C$6&amp;"_"&amp;COUNTIFS(D$2:$D147,외피index!$B$6,C$2:$C147,C147),
IF($D147=외피index!$B$7, 외피index!$C$7&amp;"_"&amp;COUNTIFS(D$2:$D147,외피index!$B$7,C$2:$C147,C147),
IF($D147=외피index!$B$8, 외피index!$C$8&amp;"_"&amp;COUNTIFS(D$2:$D147,외피index!$B$8,C$2:$C147,C147),
IF($D147=외피index!$B$9, 외피index!$C$9&amp;"_"&amp;COUNTIFS(D$2:$D147,외피index!$B$9,C$2:$C147,C147),
IF($D147=외피index!$B$10, 외피index!$C$10&amp;"_"&amp;COUNTIFS(D$2:$D147,외피index!$B$10,C$2:$C147,C147), 0))))))))),"")</f>
        <v>1F_Zone004_IW_2</v>
      </c>
      <c r="B147" s="13" t="s">
        <v>37</v>
      </c>
      <c r="C147" s="13" t="s">
        <v>40</v>
      </c>
      <c r="D147" s="13" t="s">
        <v>45</v>
      </c>
      <c r="E147" s="4"/>
      <c r="F147" s="3">
        <v>18.480054111481799</v>
      </c>
      <c r="G147" s="4" t="s">
        <v>39</v>
      </c>
      <c r="H147" s="13" t="s">
        <v>53</v>
      </c>
      <c r="I147" s="3">
        <v>90</v>
      </c>
      <c r="J147" s="4"/>
      <c r="K147" s="4"/>
      <c r="L147" s="4"/>
      <c r="M147" s="4"/>
      <c r="N147" s="4">
        <v>4.20001220703125</v>
      </c>
      <c r="O147" s="4"/>
      <c r="P147" s="4"/>
    </row>
    <row r="148" spans="1:16" x14ac:dyDescent="0.3">
      <c r="A148" s="12" t="str">
        <f>IFERROR(IF(D148="","",C148&amp;"_"&amp;
IF($D148=외피index!$B$3, 외피index!$C$3&amp;"_"&amp;COUNTIFS(D$2:$D148,외피index!$B$3,C$2:$C148,C148),
IF($D148=외피index!$B$4, 외피index!$C$4&amp;"_"&amp;COUNTIFS(D$2:$D148,외피index!$B$4,C$2:$C148,C148),
IF($D148=외피index!$B$5, 외피index!$C$5&amp;"_"&amp;COUNTIFS(D$2:$D148,외피index!$B$5,C$2:$C148,C148),
IF($D148=외피index!$B$6, 외피index!$C$6&amp;"_"&amp;COUNTIFS(D$2:$D148,외피index!$B$6,C$2:$C148,C148),
IF($D148=외피index!$B$7, 외피index!$C$7&amp;"_"&amp;COUNTIFS(D$2:$D148,외피index!$B$7,C$2:$C148,C148),
IF($D148=외피index!$B$8, 외피index!$C$8&amp;"_"&amp;COUNTIFS(D$2:$D148,외피index!$B$8,C$2:$C148,C148),
IF($D148=외피index!$B$9, 외피index!$C$9&amp;"_"&amp;COUNTIFS(D$2:$D148,외피index!$B$9,C$2:$C148,C148),
IF($D148=외피index!$B$10, 외피index!$C$10&amp;"_"&amp;COUNTIFS(D$2:$D148,외피index!$B$10,C$2:$C148,C148), 0))))))))),"")</f>
        <v>2F_Zone010_IW_3</v>
      </c>
      <c r="B148" s="13" t="s">
        <v>16</v>
      </c>
      <c r="C148" s="13" t="s">
        <v>28</v>
      </c>
      <c r="D148" s="13" t="s">
        <v>45</v>
      </c>
      <c r="E148" s="4"/>
      <c r="F148" s="3">
        <v>6.3999996185302699</v>
      </c>
      <c r="G148" s="4" t="s">
        <v>32</v>
      </c>
      <c r="H148" s="13" t="s">
        <v>53</v>
      </c>
      <c r="I148" s="3">
        <v>90</v>
      </c>
      <c r="J148" s="4"/>
      <c r="K148" s="4"/>
      <c r="L148" s="4"/>
      <c r="M148" s="4"/>
      <c r="N148" s="4">
        <v>2</v>
      </c>
      <c r="O148" s="4"/>
      <c r="P148" s="4"/>
    </row>
    <row r="149" spans="1:16" x14ac:dyDescent="0.3">
      <c r="A149" s="12" t="str">
        <f>IFERROR(IF(D149="","",C149&amp;"_"&amp;
IF($D149=외피index!$B$3, 외피index!$C$3&amp;"_"&amp;COUNTIFS(D$2:$D149,외피index!$B$3,C$2:$C149,C149),
IF($D149=외피index!$B$4, 외피index!$C$4&amp;"_"&amp;COUNTIFS(D$2:$D149,외피index!$B$4,C$2:$C149,C149),
IF($D149=외피index!$B$5, 외피index!$C$5&amp;"_"&amp;COUNTIFS(D$2:$D149,외피index!$B$5,C$2:$C149,C149),
IF($D149=외피index!$B$6, 외피index!$C$6&amp;"_"&amp;COUNTIFS(D$2:$D149,외피index!$B$6,C$2:$C149,C149),
IF($D149=외피index!$B$7, 외피index!$C$7&amp;"_"&amp;COUNTIFS(D$2:$D149,외피index!$B$7,C$2:$C149,C149),
IF($D149=외피index!$B$8, 외피index!$C$8&amp;"_"&amp;COUNTIFS(D$2:$D149,외피index!$B$8,C$2:$C149,C149),
IF($D149=외피index!$B$9, 외피index!$C$9&amp;"_"&amp;COUNTIFS(D$2:$D149,외피index!$B$9,C$2:$C149,C149),
IF($D149=외피index!$B$10, 외피index!$C$10&amp;"_"&amp;COUNTIFS(D$2:$D149,외피index!$B$10,C$2:$C149,C149), 0))))))))),"")</f>
        <v>3F_Zone018_IW_3</v>
      </c>
      <c r="B149" s="13" t="s">
        <v>35</v>
      </c>
      <c r="C149" s="13" t="s">
        <v>34</v>
      </c>
      <c r="D149" s="13" t="s">
        <v>45</v>
      </c>
      <c r="E149" s="4"/>
      <c r="F149" s="3">
        <v>5.7600102806100004</v>
      </c>
      <c r="G149" s="4" t="s">
        <v>31</v>
      </c>
      <c r="H149" s="13" t="s">
        <v>53</v>
      </c>
      <c r="I149" s="3">
        <v>90</v>
      </c>
      <c r="J149" s="4"/>
      <c r="K149" s="4"/>
      <c r="L149" s="4"/>
      <c r="M149" s="4"/>
      <c r="N149" s="4">
        <v>1.8000030517578101</v>
      </c>
      <c r="O149" s="4"/>
      <c r="P149" s="4"/>
    </row>
    <row r="150" spans="1:16" x14ac:dyDescent="0.3">
      <c r="A150" s="12" t="str">
        <f>IFERROR(IF(D150="","",C150&amp;"_"&amp;
IF($D150=외피index!$B$3, 외피index!$C$3&amp;"_"&amp;COUNTIFS(D$2:$D150,외피index!$B$3,C$2:$C150,C150),
IF($D150=외피index!$B$4, 외피index!$C$4&amp;"_"&amp;COUNTIFS(D$2:$D150,외피index!$B$4,C$2:$C150,C150),
IF($D150=외피index!$B$5, 외피index!$C$5&amp;"_"&amp;COUNTIFS(D$2:$D150,외피index!$B$5,C$2:$C150,C150),
IF($D150=외피index!$B$6, 외피index!$C$6&amp;"_"&amp;COUNTIFS(D$2:$D150,외피index!$B$6,C$2:$C150,C150),
IF($D150=외피index!$B$7, 외피index!$C$7&amp;"_"&amp;COUNTIFS(D$2:$D150,외피index!$B$7,C$2:$C150,C150),
IF($D150=외피index!$B$8, 외피index!$C$8&amp;"_"&amp;COUNTIFS(D$2:$D150,외피index!$B$8,C$2:$C150,C150),
IF($D150=외피index!$B$9, 외피index!$C$9&amp;"_"&amp;COUNTIFS(D$2:$D150,외피index!$B$9,C$2:$C150,C150),
IF($D150=외피index!$B$10, 외피index!$C$10&amp;"_"&amp;COUNTIFS(D$2:$D150,외피index!$B$10,C$2:$C150,C150), 0))))))))),"")</f>
        <v>3F_Zone018_IW_4</v>
      </c>
      <c r="B150" s="13" t="s">
        <v>35</v>
      </c>
      <c r="C150" s="13" t="s">
        <v>34</v>
      </c>
      <c r="D150" s="13" t="s">
        <v>45</v>
      </c>
      <c r="E150" s="4"/>
      <c r="F150" s="3">
        <v>3.20000028610229</v>
      </c>
      <c r="G150" s="4" t="s">
        <v>26</v>
      </c>
      <c r="H150" s="13" t="s">
        <v>53</v>
      </c>
      <c r="I150" s="3">
        <v>90</v>
      </c>
      <c r="J150" s="4"/>
      <c r="K150" s="4"/>
      <c r="L150" s="4"/>
      <c r="M150" s="4"/>
      <c r="N150" s="4">
        <v>1</v>
      </c>
      <c r="O150" s="4"/>
      <c r="P150" s="4"/>
    </row>
    <row r="151" spans="1:16" x14ac:dyDescent="0.3">
      <c r="A151" s="12" t="str">
        <f>IFERROR(IF(D151="","",C151&amp;"_"&amp;
IF($D151=외피index!$B$3, 외피index!$C$3&amp;"_"&amp;COUNTIFS(D$2:$D151,외피index!$B$3,C$2:$C151,C151),
IF($D151=외피index!$B$4, 외피index!$C$4&amp;"_"&amp;COUNTIFS(D$2:$D151,외피index!$B$4,C$2:$C151,C151),
IF($D151=외피index!$B$5, 외피index!$C$5&amp;"_"&amp;COUNTIFS(D$2:$D151,외피index!$B$5,C$2:$C151,C151),
IF($D151=외피index!$B$6, 외피index!$C$6&amp;"_"&amp;COUNTIFS(D$2:$D151,외피index!$B$6,C$2:$C151,C151),
IF($D151=외피index!$B$7, 외피index!$C$7&amp;"_"&amp;COUNTIFS(D$2:$D151,외피index!$B$7,C$2:$C151,C151),
IF($D151=외피index!$B$8, 외피index!$C$8&amp;"_"&amp;COUNTIFS(D$2:$D151,외피index!$B$8,C$2:$C151,C151),
IF($D151=외피index!$B$9, 외피index!$C$9&amp;"_"&amp;COUNTIFS(D$2:$D151,외피index!$B$9,C$2:$C151,C151),
IF($D151=외피index!$B$10, 외피index!$C$10&amp;"_"&amp;COUNTIFS(D$2:$D151,외피index!$B$10,C$2:$C151,C151), 0))))))))),"")</f>
        <v>3F_Zone016_IW_6</v>
      </c>
      <c r="B151" s="13" t="s">
        <v>35</v>
      </c>
      <c r="C151" s="13" t="s">
        <v>26</v>
      </c>
      <c r="D151" s="13" t="s">
        <v>45</v>
      </c>
      <c r="E151" s="4"/>
      <c r="F151" s="3">
        <v>8.9599617385829298</v>
      </c>
      <c r="G151" s="4" t="s">
        <v>29</v>
      </c>
      <c r="H151" s="13" t="s">
        <v>53</v>
      </c>
      <c r="I151" s="3">
        <v>90</v>
      </c>
      <c r="J151" s="4"/>
      <c r="K151" s="4"/>
      <c r="L151" s="4"/>
      <c r="M151" s="4"/>
      <c r="N151" s="4">
        <v>2.79998779296875</v>
      </c>
      <c r="O151" s="4"/>
      <c r="P151" s="4"/>
    </row>
    <row r="152" spans="1:16" x14ac:dyDescent="0.3">
      <c r="A152" s="12" t="str">
        <f>IFERROR(IF(D152="","",C152&amp;"_"&amp;
IF($D152=외피index!$B$3, 외피index!$C$3&amp;"_"&amp;COUNTIFS(D$2:$D152,외피index!$B$3,C$2:$C152,C152),
IF($D152=외피index!$B$4, 외피index!$C$4&amp;"_"&amp;COUNTIFS(D$2:$D152,외피index!$B$4,C$2:$C152,C152),
IF($D152=외피index!$B$5, 외피index!$C$5&amp;"_"&amp;COUNTIFS(D$2:$D152,외피index!$B$5,C$2:$C152,C152),
IF($D152=외피index!$B$6, 외피index!$C$6&amp;"_"&amp;COUNTIFS(D$2:$D152,외피index!$B$6,C$2:$C152,C152),
IF($D152=외피index!$B$7, 외피index!$C$7&amp;"_"&amp;COUNTIFS(D$2:$D152,외피index!$B$7,C$2:$C152,C152),
IF($D152=외피index!$B$8, 외피index!$C$8&amp;"_"&amp;COUNTIFS(D$2:$D152,외피index!$B$8,C$2:$C152,C152),
IF($D152=외피index!$B$9, 외피index!$C$9&amp;"_"&amp;COUNTIFS(D$2:$D152,외피index!$B$9,C$2:$C152,C152),
IF($D152=외피index!$B$10, 외피index!$C$10&amp;"_"&amp;COUNTIFS(D$2:$D152,외피index!$B$10,C$2:$C152,C152), 0))))))))),"")</f>
        <v>2F_Zone006_WL_2</v>
      </c>
      <c r="B152" s="13" t="s">
        <v>16</v>
      </c>
      <c r="C152" s="13" t="s">
        <v>17</v>
      </c>
      <c r="D152" s="13" t="s">
        <v>47</v>
      </c>
      <c r="E152" s="4"/>
      <c r="F152" s="3">
        <v>21.169995861055199</v>
      </c>
      <c r="G152" s="4"/>
      <c r="H152" s="13" t="s">
        <v>53</v>
      </c>
      <c r="I152" s="3">
        <v>90</v>
      </c>
      <c r="J152" s="4"/>
      <c r="K152" s="4"/>
      <c r="L152" s="4"/>
      <c r="M152" s="4"/>
      <c r="N152" s="4">
        <v>8.1999969482421804</v>
      </c>
      <c r="O152" s="4"/>
      <c r="P152" s="4"/>
    </row>
    <row r="153" spans="1:16" x14ac:dyDescent="0.3">
      <c r="A153" s="12" t="str">
        <f>IFERROR(IF(D153="","",C153&amp;"_"&amp;
IF($D153=외피index!$B$3, 외피index!$C$3&amp;"_"&amp;COUNTIFS(D$2:$D153,외피index!$B$3,C$2:$C153,C153),
IF($D153=외피index!$B$4, 외피index!$C$4&amp;"_"&amp;COUNTIFS(D$2:$D153,외피index!$B$4,C$2:$C153,C153),
IF($D153=외피index!$B$5, 외피index!$C$5&amp;"_"&amp;COUNTIFS(D$2:$D153,외피index!$B$5,C$2:$C153,C153),
IF($D153=외피index!$B$6, 외피index!$C$6&amp;"_"&amp;COUNTIFS(D$2:$D153,외피index!$B$6,C$2:$C153,C153),
IF($D153=외피index!$B$7, 외피index!$C$7&amp;"_"&amp;COUNTIFS(D$2:$D153,외피index!$B$7,C$2:$C153,C153),
IF($D153=외피index!$B$8, 외피index!$C$8&amp;"_"&amp;COUNTIFS(D$2:$D153,외피index!$B$8,C$2:$C153,C153),
IF($D153=외피index!$B$9, 외피index!$C$9&amp;"_"&amp;COUNTIFS(D$2:$D153,외피index!$B$9,C$2:$C153,C153),
IF($D153=외피index!$B$10, 외피index!$C$10&amp;"_"&amp;COUNTIFS(D$2:$D153,외피index!$B$10,C$2:$C153,C153), 0))))))))),"")</f>
        <v>3F_Zone015_WL_2</v>
      </c>
      <c r="B153" s="13" t="s">
        <v>35</v>
      </c>
      <c r="C153" s="13" t="s">
        <v>22</v>
      </c>
      <c r="D153" s="13" t="s">
        <v>47</v>
      </c>
      <c r="E153" s="4"/>
      <c r="F153" s="3">
        <v>18.819869356157099</v>
      </c>
      <c r="G153" s="4"/>
      <c r="H153" s="13" t="s">
        <v>53</v>
      </c>
      <c r="I153" s="3">
        <v>90</v>
      </c>
      <c r="J153" s="4"/>
      <c r="K153" s="4"/>
      <c r="L153" s="4"/>
      <c r="M153" s="4"/>
      <c r="N153" s="4">
        <v>7.1000061035156197</v>
      </c>
      <c r="O153" s="4"/>
      <c r="P153" s="4"/>
    </row>
    <row r="154" spans="1:16" x14ac:dyDescent="0.3">
      <c r="A154" s="12" t="str">
        <f>IFERROR(IF(D154="","",C154&amp;"_"&amp;
IF($D154=외피index!$B$3, 외피index!$C$3&amp;"_"&amp;COUNTIFS(D$2:$D154,외피index!$B$3,C$2:$C154,C154),
IF($D154=외피index!$B$4, 외피index!$C$4&amp;"_"&amp;COUNTIFS(D$2:$D154,외피index!$B$4,C$2:$C154,C154),
IF($D154=외피index!$B$5, 외피index!$C$5&amp;"_"&amp;COUNTIFS(D$2:$D154,외피index!$B$5,C$2:$C154,C154),
IF($D154=외피index!$B$6, 외피index!$C$6&amp;"_"&amp;COUNTIFS(D$2:$D154,외피index!$B$6,C$2:$C154,C154),
IF($D154=외피index!$B$7, 외피index!$C$7&amp;"_"&amp;COUNTIFS(D$2:$D154,외피index!$B$7,C$2:$C154,C154),
IF($D154=외피index!$B$8, 외피index!$C$8&amp;"_"&amp;COUNTIFS(D$2:$D154,외피index!$B$8,C$2:$C154,C154),
IF($D154=외피index!$B$9, 외피index!$C$9&amp;"_"&amp;COUNTIFS(D$2:$D154,외피index!$B$9,C$2:$C154,C154),
IF($D154=외피index!$B$10, 외피index!$C$10&amp;"_"&amp;COUNTIFS(D$2:$D154,외피index!$B$10,C$2:$C154,C154), 0))))))))),"")</f>
        <v>1F_Zone002_WL_3</v>
      </c>
      <c r="B154" s="13" t="s">
        <v>37</v>
      </c>
      <c r="C154" s="13" t="s">
        <v>38</v>
      </c>
      <c r="D154" s="13" t="s">
        <v>47</v>
      </c>
      <c r="E154" s="4"/>
      <c r="F154" s="3">
        <v>18.589998338222301</v>
      </c>
      <c r="G154" s="4"/>
      <c r="H154" s="13" t="s">
        <v>53</v>
      </c>
      <c r="I154" s="3">
        <v>90</v>
      </c>
      <c r="J154" s="4"/>
      <c r="K154" s="4"/>
      <c r="L154" s="4"/>
      <c r="M154" s="4"/>
      <c r="N154" s="4">
        <v>8.1999969482421804</v>
      </c>
      <c r="O154" s="4"/>
      <c r="P154" s="4"/>
    </row>
    <row r="155" spans="1:16" x14ac:dyDescent="0.3">
      <c r="A155" s="12" t="str">
        <f>IFERROR(IF(D155="","",C155&amp;"_"&amp;
IF($D155=외피index!$B$3, 외피index!$C$3&amp;"_"&amp;COUNTIFS(D$2:$D155,외피index!$B$3,C$2:$C155,C155),
IF($D155=외피index!$B$4, 외피index!$C$4&amp;"_"&amp;COUNTIFS(D$2:$D155,외피index!$B$4,C$2:$C155,C155),
IF($D155=외피index!$B$5, 외피index!$C$5&amp;"_"&amp;COUNTIFS(D$2:$D155,외피index!$B$5,C$2:$C155,C155),
IF($D155=외피index!$B$6, 외피index!$C$6&amp;"_"&amp;COUNTIFS(D$2:$D155,외피index!$B$6,C$2:$C155,C155),
IF($D155=외피index!$B$7, 외피index!$C$7&amp;"_"&amp;COUNTIFS(D$2:$D155,외피index!$B$7,C$2:$C155,C155),
IF($D155=외피index!$B$8, 외피index!$C$8&amp;"_"&amp;COUNTIFS(D$2:$D155,외피index!$B$8,C$2:$C155,C155),
IF($D155=외피index!$B$9, 외피index!$C$9&amp;"_"&amp;COUNTIFS(D$2:$D155,외피index!$B$9,C$2:$C155,C155),
IF($D155=외피index!$B$10, 외피index!$C$10&amp;"_"&amp;COUNTIFS(D$2:$D155,외피index!$B$10,C$2:$C155,C155), 0))))))))),"")</f>
        <v>3F_Zone014_WL_2</v>
      </c>
      <c r="B155" s="13" t="s">
        <v>35</v>
      </c>
      <c r="C155" s="13" t="s">
        <v>19</v>
      </c>
      <c r="D155" s="13" t="s">
        <v>47</v>
      </c>
      <c r="E155" s="4"/>
      <c r="F155" s="3">
        <v>14.159917011573199</v>
      </c>
      <c r="G155" s="4"/>
      <c r="H155" s="13" t="s">
        <v>53</v>
      </c>
      <c r="I155" s="3">
        <v>90</v>
      </c>
      <c r="J155" s="4"/>
      <c r="K155" s="4"/>
      <c r="L155" s="4"/>
      <c r="M155" s="4"/>
      <c r="N155" s="4">
        <v>5.4000091552734304</v>
      </c>
      <c r="O155" s="4"/>
      <c r="P155" s="4"/>
    </row>
    <row r="156" spans="1:16" x14ac:dyDescent="0.3">
      <c r="A156" s="12" t="str">
        <f>IFERROR(IF(D156="","",C156&amp;"_"&amp;
IF($D156=외피index!$B$3, 외피index!$C$3&amp;"_"&amp;COUNTIFS(D$2:$D156,외피index!$B$3,C$2:$C156,C156),
IF($D156=외피index!$B$4, 외피index!$C$4&amp;"_"&amp;COUNTIFS(D$2:$D156,외피index!$B$4,C$2:$C156,C156),
IF($D156=외피index!$B$5, 외피index!$C$5&amp;"_"&amp;COUNTIFS(D$2:$D156,외피index!$B$5,C$2:$C156,C156),
IF($D156=외피index!$B$6, 외피index!$C$6&amp;"_"&amp;COUNTIFS(D$2:$D156,외피index!$B$6,C$2:$C156,C156),
IF($D156=외피index!$B$7, 외피index!$C$7&amp;"_"&amp;COUNTIFS(D$2:$D156,외피index!$B$7,C$2:$C156,C156),
IF($D156=외피index!$B$8, 외피index!$C$8&amp;"_"&amp;COUNTIFS(D$2:$D156,외피index!$B$8,C$2:$C156,C156),
IF($D156=외피index!$B$9, 외피index!$C$9&amp;"_"&amp;COUNTIFS(D$2:$D156,외피index!$B$9,C$2:$C156,C156),
IF($D156=외피index!$B$10, 외피index!$C$10&amp;"_"&amp;COUNTIFS(D$2:$D156,외피index!$B$10,C$2:$C156,C156), 0))))))))),"")</f>
        <v>1F_Zone002_IW_1</v>
      </c>
      <c r="B156" s="13" t="s">
        <v>37</v>
      </c>
      <c r="C156" s="13" t="s">
        <v>38</v>
      </c>
      <c r="D156" s="13" t="s">
        <v>45</v>
      </c>
      <c r="E156" s="4"/>
      <c r="F156" s="3">
        <v>15.5399889087675</v>
      </c>
      <c r="G156" s="4" t="s">
        <v>42</v>
      </c>
      <c r="H156" s="13" t="s">
        <v>53</v>
      </c>
      <c r="I156" s="3">
        <v>90</v>
      </c>
      <c r="J156" s="4"/>
      <c r="K156" s="4"/>
      <c r="L156" s="4"/>
      <c r="M156" s="4"/>
      <c r="N156" s="4">
        <v>4.1999969482421804</v>
      </c>
      <c r="O156" s="4"/>
      <c r="P156" s="4"/>
    </row>
    <row r="157" spans="1:16" x14ac:dyDescent="0.3">
      <c r="A157" s="12" t="str">
        <f>IFERROR(IF(D157="","",C157&amp;"_"&amp;
IF($D157=외피index!$B$3, 외피index!$C$3&amp;"_"&amp;COUNTIFS(D$2:$D157,외피index!$B$3,C$2:$C157,C157),
IF($D157=외피index!$B$4, 외피index!$C$4&amp;"_"&amp;COUNTIFS(D$2:$D157,외피index!$B$4,C$2:$C157,C157),
IF($D157=외피index!$B$5, 외피index!$C$5&amp;"_"&amp;COUNTIFS(D$2:$D157,외피index!$B$5,C$2:$C157,C157),
IF($D157=외피index!$B$6, 외피index!$C$6&amp;"_"&amp;COUNTIFS(D$2:$D157,외피index!$B$6,C$2:$C157,C157),
IF($D157=외피index!$B$7, 외피index!$C$7&amp;"_"&amp;COUNTIFS(D$2:$D157,외피index!$B$7,C$2:$C157,C157),
IF($D157=외피index!$B$8, 외피index!$C$8&amp;"_"&amp;COUNTIFS(D$2:$D157,외피index!$B$8,C$2:$C157,C157),
IF($D157=외피index!$B$9, 외피index!$C$9&amp;"_"&amp;COUNTIFS(D$2:$D157,외피index!$B$9,C$2:$C157,C157),
IF($D157=외피index!$B$10, 외피index!$C$10&amp;"_"&amp;COUNTIFS(D$2:$D157,외피index!$B$10,C$2:$C157,C157), 0))))))))),"")</f>
        <v>2F_Zone007_WL_2</v>
      </c>
      <c r="B157" s="13" t="s">
        <v>16</v>
      </c>
      <c r="C157" s="13" t="s">
        <v>21</v>
      </c>
      <c r="D157" s="13" t="s">
        <v>47</v>
      </c>
      <c r="E157" s="4"/>
      <c r="F157" s="3">
        <v>12.1299793434154</v>
      </c>
      <c r="G157" s="4"/>
      <c r="H157" s="13" t="s">
        <v>53</v>
      </c>
      <c r="I157" s="3">
        <v>90</v>
      </c>
      <c r="J157" s="4"/>
      <c r="K157" s="4"/>
      <c r="L157" s="4"/>
      <c r="M157" s="4"/>
      <c r="N157" s="4">
        <v>4.3999938964843697</v>
      </c>
      <c r="O157" s="4"/>
      <c r="P157" s="4"/>
    </row>
    <row r="158" spans="1:16" x14ac:dyDescent="0.3">
      <c r="A158" s="12" t="str">
        <f>IFERROR(IF(D158="","",C158&amp;"_"&amp;
IF($D158=외피index!$B$3, 외피index!$C$3&amp;"_"&amp;COUNTIFS(D$2:$D158,외피index!$B$3,C$2:$C158,C158),
IF($D158=외피index!$B$4, 외피index!$C$4&amp;"_"&amp;COUNTIFS(D$2:$D158,외피index!$B$4,C$2:$C158,C158),
IF($D158=외피index!$B$5, 외피index!$C$5&amp;"_"&amp;COUNTIFS(D$2:$D158,외피index!$B$5,C$2:$C158,C158),
IF($D158=외피index!$B$6, 외피index!$C$6&amp;"_"&amp;COUNTIFS(D$2:$D158,외피index!$B$6,C$2:$C158,C158),
IF($D158=외피index!$B$7, 외피index!$C$7&amp;"_"&amp;COUNTIFS(D$2:$D158,외피index!$B$7,C$2:$C158,C158),
IF($D158=외피index!$B$8, 외피index!$C$8&amp;"_"&amp;COUNTIFS(D$2:$D158,외피index!$B$8,C$2:$C158,C158),
IF($D158=외피index!$B$9, 외피index!$C$9&amp;"_"&amp;COUNTIFS(D$2:$D158,외피index!$B$9,C$2:$C158,C158),
IF($D158=외피index!$B$10, 외피index!$C$10&amp;"_"&amp;COUNTIFS(D$2:$D158,외피index!$B$10,C$2:$C158,C158), 0))))))))),"")</f>
        <v>3F_Zone017_WL_1</v>
      </c>
      <c r="B158" s="13" t="s">
        <v>35</v>
      </c>
      <c r="C158" s="13" t="s">
        <v>29</v>
      </c>
      <c r="D158" s="13" t="s">
        <v>47</v>
      </c>
      <c r="E158" s="4"/>
      <c r="F158" s="3">
        <v>7.0098856353724797</v>
      </c>
      <c r="G158" s="4"/>
      <c r="H158" s="13" t="s">
        <v>53</v>
      </c>
      <c r="I158" s="3">
        <v>90</v>
      </c>
      <c r="J158" s="4"/>
      <c r="K158" s="4"/>
      <c r="L158" s="4"/>
      <c r="M158" s="4"/>
      <c r="N158" s="4">
        <v>2.79998779296875</v>
      </c>
      <c r="O158" s="4"/>
      <c r="P158" s="4"/>
    </row>
    <row r="159" spans="1:16" x14ac:dyDescent="0.3">
      <c r="A159" s="12" t="str">
        <f>IFERROR(IF(D159="","",C159&amp;"_"&amp;
IF($D159=외피index!$B$3, 외피index!$C$3&amp;"_"&amp;COUNTIFS(D$2:$D159,외피index!$B$3,C$2:$C159,C159),
IF($D159=외피index!$B$4, 외피index!$C$4&amp;"_"&amp;COUNTIFS(D$2:$D159,외피index!$B$4,C$2:$C159,C159),
IF($D159=외피index!$B$5, 외피index!$C$5&amp;"_"&amp;COUNTIFS(D$2:$D159,외피index!$B$5,C$2:$C159,C159),
IF($D159=외피index!$B$6, 외피index!$C$6&amp;"_"&amp;COUNTIFS(D$2:$D159,외피index!$B$6,C$2:$C159,C159),
IF($D159=외피index!$B$7, 외피index!$C$7&amp;"_"&amp;COUNTIFS(D$2:$D159,외피index!$B$7,C$2:$C159,C159),
IF($D159=외피index!$B$8, 외피index!$C$8&amp;"_"&amp;COUNTIFS(D$2:$D159,외피index!$B$8,C$2:$C159,C159),
IF($D159=외피index!$B$9, 외피index!$C$9&amp;"_"&amp;COUNTIFS(D$2:$D159,외피index!$B$9,C$2:$C159,C159),
IF($D159=외피index!$B$10, 외피index!$C$10&amp;"_"&amp;COUNTIFS(D$2:$D159,외피index!$B$10,C$2:$C159,C159), 0))))))))),"")</f>
        <v>2F_Zone009_WL_1</v>
      </c>
      <c r="B159" s="13" t="s">
        <v>16</v>
      </c>
      <c r="C159" s="13" t="s">
        <v>27</v>
      </c>
      <c r="D159" s="13" t="s">
        <v>47</v>
      </c>
      <c r="E159" s="4"/>
      <c r="F159" s="3">
        <v>6.6900382614112397</v>
      </c>
      <c r="G159" s="4"/>
      <c r="H159" s="13" t="s">
        <v>53</v>
      </c>
      <c r="I159" s="3">
        <v>90</v>
      </c>
      <c r="J159" s="4"/>
      <c r="K159" s="4"/>
      <c r="L159" s="4"/>
      <c r="M159" s="4"/>
      <c r="N159" s="4">
        <v>2.70001220703125</v>
      </c>
      <c r="O159" s="4"/>
      <c r="P159" s="4"/>
    </row>
    <row r="160" spans="1:16" x14ac:dyDescent="0.3">
      <c r="A160" s="12" t="str">
        <f>IFERROR(IF(D160="","",C160&amp;"_"&amp;
IF($D160=외피index!$B$3, 외피index!$C$3&amp;"_"&amp;COUNTIFS(D$2:$D160,외피index!$B$3,C$2:$C160,C160),
IF($D160=외피index!$B$4, 외피index!$C$4&amp;"_"&amp;COUNTIFS(D$2:$D160,외피index!$B$4,C$2:$C160,C160),
IF($D160=외피index!$B$5, 외피index!$C$5&amp;"_"&amp;COUNTIFS(D$2:$D160,외피index!$B$5,C$2:$C160,C160),
IF($D160=외피index!$B$6, 외피index!$C$6&amp;"_"&amp;COUNTIFS(D$2:$D160,외피index!$B$6,C$2:$C160,C160),
IF($D160=외피index!$B$7, 외피index!$C$7&amp;"_"&amp;COUNTIFS(D$2:$D160,외피index!$B$7,C$2:$C160,C160),
IF($D160=외피index!$B$8, 외피index!$C$8&amp;"_"&amp;COUNTIFS(D$2:$D160,외피index!$B$8,C$2:$C160,C160),
IF($D160=외피index!$B$9, 외피index!$C$9&amp;"_"&amp;COUNTIFS(D$2:$D160,외피index!$B$9,C$2:$C160,C160),
IF($D160=외피index!$B$10, 외피index!$C$10&amp;"_"&amp;COUNTIFS(D$2:$D160,외피index!$B$10,C$2:$C160,C160), 0))))))))),"")</f>
        <v>2F_Zone012_IW_4</v>
      </c>
      <c r="B160" s="13" t="s">
        <v>16</v>
      </c>
      <c r="C160" s="13" t="s">
        <v>30</v>
      </c>
      <c r="D160" s="13" t="s">
        <v>45</v>
      </c>
      <c r="E160" s="4"/>
      <c r="F160" s="3">
        <v>9.2800287437421503</v>
      </c>
      <c r="G160" s="4" t="s">
        <v>25</v>
      </c>
      <c r="H160" s="13" t="s">
        <v>53</v>
      </c>
      <c r="I160" s="3">
        <v>90</v>
      </c>
      <c r="J160" s="4"/>
      <c r="K160" s="4"/>
      <c r="L160" s="4"/>
      <c r="M160" s="4"/>
      <c r="N160" s="4">
        <v>2.90000915527343</v>
      </c>
      <c r="O160" s="4"/>
      <c r="P160" s="4"/>
    </row>
    <row r="161" spans="1:16" x14ac:dyDescent="0.3">
      <c r="A161" s="12" t="str">
        <f>IFERROR(IF(D161="","",C161&amp;"_"&amp;
IF($D161=외피index!$B$3, 외피index!$C$3&amp;"_"&amp;COUNTIFS(D$2:$D161,외피index!$B$3,C$2:$C161,C161),
IF($D161=외피index!$B$4, 외피index!$C$4&amp;"_"&amp;COUNTIFS(D$2:$D161,외피index!$B$4,C$2:$C161,C161),
IF($D161=외피index!$B$5, 외피index!$C$5&amp;"_"&amp;COUNTIFS(D$2:$D161,외피index!$B$5,C$2:$C161,C161),
IF($D161=외피index!$B$6, 외피index!$C$6&amp;"_"&amp;COUNTIFS(D$2:$D161,외피index!$B$6,C$2:$C161,C161),
IF($D161=외피index!$B$7, 외피index!$C$7&amp;"_"&amp;COUNTIFS(D$2:$D161,외피index!$B$7,C$2:$C161,C161),
IF($D161=외피index!$B$8, 외피index!$C$8&amp;"_"&amp;COUNTIFS(D$2:$D161,외피index!$B$8,C$2:$C161,C161),
IF($D161=외피index!$B$9, 외피index!$C$9&amp;"_"&amp;COUNTIFS(D$2:$D161,외피index!$B$9,C$2:$C161,C161),
IF($D161=외피index!$B$10, 외피index!$C$10&amp;"_"&amp;COUNTIFS(D$2:$D161,외피index!$B$10,C$2:$C161,C161), 0))))))))),"")</f>
        <v>2F_Zone010_IW_4</v>
      </c>
      <c r="B161" s="13" t="s">
        <v>16</v>
      </c>
      <c r="C161" s="13" t="s">
        <v>28</v>
      </c>
      <c r="D161" s="13" t="s">
        <v>45</v>
      </c>
      <c r="E161" s="4"/>
      <c r="F161" s="3">
        <v>7.0399898147588802</v>
      </c>
      <c r="G161" s="4" t="s">
        <v>25</v>
      </c>
      <c r="H161" s="13" t="s">
        <v>53</v>
      </c>
      <c r="I161" s="3">
        <v>90</v>
      </c>
      <c r="J161" s="4"/>
      <c r="K161" s="4"/>
      <c r="L161" s="4"/>
      <c r="M161" s="4"/>
      <c r="N161" s="4">
        <v>2.19999694824218</v>
      </c>
      <c r="O161" s="4"/>
      <c r="P161" s="4"/>
    </row>
    <row r="162" spans="1:16" x14ac:dyDescent="0.3">
      <c r="A162" s="12" t="str">
        <f>IFERROR(IF(D162="","",C162&amp;"_"&amp;
IF($D162=외피index!$B$3, 외피index!$C$3&amp;"_"&amp;COUNTIFS(D$2:$D162,외피index!$B$3,C$2:$C162,C162),
IF($D162=외피index!$B$4, 외피index!$C$4&amp;"_"&amp;COUNTIFS(D$2:$D162,외피index!$B$4,C$2:$C162,C162),
IF($D162=외피index!$B$5, 외피index!$C$5&amp;"_"&amp;COUNTIFS(D$2:$D162,외피index!$B$5,C$2:$C162,C162),
IF($D162=외피index!$B$6, 외피index!$C$6&amp;"_"&amp;COUNTIFS(D$2:$D162,외피index!$B$6,C$2:$C162,C162),
IF($D162=외피index!$B$7, 외피index!$C$7&amp;"_"&amp;COUNTIFS(D$2:$D162,외피index!$B$7,C$2:$C162,C162),
IF($D162=외피index!$B$8, 외피index!$C$8&amp;"_"&amp;COUNTIFS(D$2:$D162,외피index!$B$8,C$2:$C162,C162),
IF($D162=외피index!$B$9, 외피index!$C$9&amp;"_"&amp;COUNTIFS(D$2:$D162,외피index!$B$9,C$2:$C162,C162),
IF($D162=외피index!$B$10, 외피index!$C$10&amp;"_"&amp;COUNTIFS(D$2:$D162,외피index!$B$10,C$2:$C162,C162), 0))))))))),"")</f>
        <v>1F_Zone005_WL_3</v>
      </c>
      <c r="B162" s="13" t="s">
        <v>37</v>
      </c>
      <c r="C162" s="13" t="s">
        <v>42</v>
      </c>
      <c r="D162" s="13" t="s">
        <v>47</v>
      </c>
      <c r="E162" s="4"/>
      <c r="F162" s="3">
        <v>5.90497417755354</v>
      </c>
      <c r="G162" s="4"/>
      <c r="H162" s="13" t="s">
        <v>53</v>
      </c>
      <c r="I162" s="3">
        <v>90</v>
      </c>
      <c r="J162" s="4"/>
      <c r="K162" s="4"/>
      <c r="L162" s="4"/>
      <c r="M162" s="4"/>
      <c r="N162" s="4">
        <v>4.1999969482421804</v>
      </c>
      <c r="O162" s="4"/>
      <c r="P162" s="4"/>
    </row>
    <row r="163" spans="1:16" x14ac:dyDescent="0.3">
      <c r="A163" s="12" t="str">
        <f>IFERROR(IF(D163="","",C163&amp;"_"&amp;
IF($D163=외피index!$B$3, 외피index!$C$3&amp;"_"&amp;COUNTIFS(D$2:$D163,외피index!$B$3,C$2:$C163,C163),
IF($D163=외피index!$B$4, 외피index!$C$4&amp;"_"&amp;COUNTIFS(D$2:$D163,외피index!$B$4,C$2:$C163,C163),
IF($D163=외피index!$B$5, 외피index!$C$5&amp;"_"&amp;COUNTIFS(D$2:$D163,외피index!$B$5,C$2:$C163,C163),
IF($D163=외피index!$B$6, 외피index!$C$6&amp;"_"&amp;COUNTIFS(D$2:$D163,외피index!$B$6,C$2:$C163,C163),
IF($D163=외피index!$B$7, 외피index!$C$7&amp;"_"&amp;COUNTIFS(D$2:$D163,외피index!$B$7,C$2:$C163,C163),
IF($D163=외피index!$B$8, 외피index!$C$8&amp;"_"&amp;COUNTIFS(D$2:$D163,외피index!$B$8,C$2:$C163,C163),
IF($D163=외피index!$B$9, 외피index!$C$9&amp;"_"&amp;COUNTIFS(D$2:$D163,외피index!$B$9,C$2:$C163,C163),
IF($D163=외피index!$B$10, 외피index!$C$10&amp;"_"&amp;COUNTIFS(D$2:$D163,외피index!$B$10,C$2:$C163,C163), 0))))))))),"")</f>
        <v>2F_Zone006_WIN_3</v>
      </c>
      <c r="B163" s="13" t="s">
        <v>16</v>
      </c>
      <c r="C163" s="13" t="s">
        <v>17</v>
      </c>
      <c r="D163" s="13" t="s">
        <v>48</v>
      </c>
      <c r="E163" s="4"/>
      <c r="F163" s="3">
        <v>3.1199925231921899</v>
      </c>
      <c r="G163" s="4"/>
      <c r="H163" s="13" t="s">
        <v>53</v>
      </c>
      <c r="I163" s="3">
        <v>90</v>
      </c>
      <c r="J163" s="4">
        <v>0</v>
      </c>
      <c r="K163" s="4">
        <v>0</v>
      </c>
      <c r="L163" s="4">
        <v>0</v>
      </c>
      <c r="M163" s="4">
        <v>12.6623191833496</v>
      </c>
      <c r="N163" s="4"/>
      <c r="O163" s="4">
        <v>2.3999938964843701</v>
      </c>
      <c r="P163" s="4">
        <v>2.7294635368645102</v>
      </c>
    </row>
    <row r="164" spans="1:16" x14ac:dyDescent="0.3">
      <c r="A164" s="12" t="str">
        <f>IFERROR(IF(D164="","",C164&amp;"_"&amp;
IF($D164=외피index!$B$3, 외피index!$C$3&amp;"_"&amp;COUNTIFS(D$2:$D164,외피index!$B$3,C$2:$C164,C164),
IF($D164=외피index!$B$4, 외피index!$C$4&amp;"_"&amp;COUNTIFS(D$2:$D164,외피index!$B$4,C$2:$C164,C164),
IF($D164=외피index!$B$5, 외피index!$C$5&amp;"_"&amp;COUNTIFS(D$2:$D164,외피index!$B$5,C$2:$C164,C164),
IF($D164=외피index!$B$6, 외피index!$C$6&amp;"_"&amp;COUNTIFS(D$2:$D164,외피index!$B$6,C$2:$C164,C164),
IF($D164=외피index!$B$7, 외피index!$C$7&amp;"_"&amp;COUNTIFS(D$2:$D164,외피index!$B$7,C$2:$C164,C164),
IF($D164=외피index!$B$8, 외피index!$C$8&amp;"_"&amp;COUNTIFS(D$2:$D164,외피index!$B$8,C$2:$C164,C164),
IF($D164=외피index!$B$9, 외피index!$C$9&amp;"_"&amp;COUNTIFS(D$2:$D164,외피index!$B$9,C$2:$C164,C164),
IF($D164=외피index!$B$10, 외피index!$C$10&amp;"_"&amp;COUNTIFS(D$2:$D164,외피index!$B$10,C$2:$C164,C164), 0))))))))),"")</f>
        <v>2F_Zone006_WIN_4</v>
      </c>
      <c r="B164" s="13" t="s">
        <v>16</v>
      </c>
      <c r="C164" s="13" t="s">
        <v>17</v>
      </c>
      <c r="D164" s="13" t="s">
        <v>48</v>
      </c>
      <c r="E164" s="4"/>
      <c r="F164" s="3">
        <v>1.95000028610229</v>
      </c>
      <c r="G164" s="4"/>
      <c r="H164" s="13" t="s">
        <v>53</v>
      </c>
      <c r="I164" s="3">
        <v>90</v>
      </c>
      <c r="J164" s="4">
        <v>0</v>
      </c>
      <c r="K164" s="4">
        <v>0</v>
      </c>
      <c r="L164" s="4">
        <v>0</v>
      </c>
      <c r="M164" s="4">
        <v>12.6623191833496</v>
      </c>
      <c r="N164" s="4"/>
      <c r="O164" s="4">
        <v>1.5</v>
      </c>
      <c r="P164" s="4">
        <v>1.9849434490460101</v>
      </c>
    </row>
    <row r="165" spans="1:16" x14ac:dyDescent="0.3">
      <c r="A165" s="12" t="str">
        <f>IFERROR(IF(D165="","",C165&amp;"_"&amp;
IF($D165=외피index!$B$3, 외피index!$C$3&amp;"_"&amp;COUNTIFS(D$2:$D165,외피index!$B$3,C$2:$C165,C165),
IF($D165=외피index!$B$4, 외피index!$C$4&amp;"_"&amp;COUNTIFS(D$2:$D165,외피index!$B$4,C$2:$C165,C165),
IF($D165=외피index!$B$5, 외피index!$C$5&amp;"_"&amp;COUNTIFS(D$2:$D165,외피index!$B$5,C$2:$C165,C165),
IF($D165=외피index!$B$6, 외피index!$C$6&amp;"_"&amp;COUNTIFS(D$2:$D165,외피index!$B$6,C$2:$C165,C165),
IF($D165=외피index!$B$7, 외피index!$C$7&amp;"_"&amp;COUNTIFS(D$2:$D165,외피index!$B$7,C$2:$C165,C165),
IF($D165=외피index!$B$8, 외피index!$C$8&amp;"_"&amp;COUNTIFS(D$2:$D165,외피index!$B$8,C$2:$C165,C165),
IF($D165=외피index!$B$9, 외피index!$C$9&amp;"_"&amp;COUNTIFS(D$2:$D165,외피index!$B$9,C$2:$C165,C165),
IF($D165=외피index!$B$10, 외피index!$C$10&amp;"_"&amp;COUNTIFS(D$2:$D165,외피index!$B$10,C$2:$C165,C165), 0))))))))),"")</f>
        <v>2F_Zone007_WIN_3</v>
      </c>
      <c r="B165" s="13" t="s">
        <v>16</v>
      </c>
      <c r="C165" s="13" t="s">
        <v>21</v>
      </c>
      <c r="D165" s="13" t="s">
        <v>48</v>
      </c>
      <c r="E165" s="4"/>
      <c r="F165" s="3">
        <v>1.95000028610229</v>
      </c>
      <c r="G165" s="4"/>
      <c r="H165" s="13" t="s">
        <v>53</v>
      </c>
      <c r="I165" s="3">
        <v>90</v>
      </c>
      <c r="J165" s="4">
        <v>0</v>
      </c>
      <c r="K165" s="4">
        <v>0</v>
      </c>
      <c r="L165" s="4">
        <v>0</v>
      </c>
      <c r="M165" s="4">
        <v>12.6623191833496</v>
      </c>
      <c r="N165" s="4"/>
      <c r="O165" s="4">
        <v>1.5</v>
      </c>
      <c r="P165" s="4">
        <v>1.9849434490460101</v>
      </c>
    </row>
    <row r="166" spans="1:16" x14ac:dyDescent="0.3">
      <c r="A166" s="12" t="str">
        <f>IFERROR(IF(D166="","",C166&amp;"_"&amp;
IF($D166=외피index!$B$3, 외피index!$C$3&amp;"_"&amp;COUNTIFS(D$2:$D166,외피index!$B$3,C$2:$C166,C166),
IF($D166=외피index!$B$4, 외피index!$C$4&amp;"_"&amp;COUNTIFS(D$2:$D166,외피index!$B$4,C$2:$C166,C166),
IF($D166=외피index!$B$5, 외피index!$C$5&amp;"_"&amp;COUNTIFS(D$2:$D166,외피index!$B$5,C$2:$C166,C166),
IF($D166=외피index!$B$6, 외피index!$C$6&amp;"_"&amp;COUNTIFS(D$2:$D166,외피index!$B$6,C$2:$C166,C166),
IF($D166=외피index!$B$7, 외피index!$C$7&amp;"_"&amp;COUNTIFS(D$2:$D166,외피index!$B$7,C$2:$C166,C166),
IF($D166=외피index!$B$8, 외피index!$C$8&amp;"_"&amp;COUNTIFS(D$2:$D166,외피index!$B$8,C$2:$C166,C166),
IF($D166=외피index!$B$9, 외피index!$C$9&amp;"_"&amp;COUNTIFS(D$2:$D166,외피index!$B$9,C$2:$C166,C166),
IF($D166=외피index!$B$10, 외피index!$C$10&amp;"_"&amp;COUNTIFS(D$2:$D166,외피index!$B$10,C$2:$C166,C166), 0))))))))),"")</f>
        <v>3F_Zone017_WIN_1</v>
      </c>
      <c r="B166" s="13" t="s">
        <v>35</v>
      </c>
      <c r="C166" s="13" t="s">
        <v>29</v>
      </c>
      <c r="D166" s="13" t="s">
        <v>48</v>
      </c>
      <c r="E166" s="4"/>
      <c r="F166" s="3">
        <v>1.9500761032104399</v>
      </c>
      <c r="G166" s="4"/>
      <c r="H166" s="13" t="s">
        <v>53</v>
      </c>
      <c r="I166" s="3">
        <v>90</v>
      </c>
      <c r="J166" s="4">
        <v>0</v>
      </c>
      <c r="K166" s="4">
        <v>0</v>
      </c>
      <c r="L166" s="4">
        <v>0</v>
      </c>
      <c r="M166" s="4">
        <v>9.2170495986938406</v>
      </c>
      <c r="N166" s="4"/>
      <c r="O166" s="4">
        <v>1.5</v>
      </c>
      <c r="P166" s="4">
        <v>1.98497655270925</v>
      </c>
    </row>
    <row r="167" spans="1:16" x14ac:dyDescent="0.3">
      <c r="A167" s="12" t="str">
        <f>IFERROR(IF(D167="","",C167&amp;"_"&amp;
IF($D167=외피index!$B$3, 외피index!$C$3&amp;"_"&amp;COUNTIFS(D$2:$D167,외피index!$B$3,C$2:$C167,C167),
IF($D167=외피index!$B$4, 외피index!$C$4&amp;"_"&amp;COUNTIFS(D$2:$D167,외피index!$B$4,C$2:$C167,C167),
IF($D167=외피index!$B$5, 외피index!$C$5&amp;"_"&amp;COUNTIFS(D$2:$D167,외피index!$B$5,C$2:$C167,C167),
IF($D167=외피index!$B$6, 외피index!$C$6&amp;"_"&amp;COUNTIFS(D$2:$D167,외피index!$B$6,C$2:$C167,C167),
IF($D167=외피index!$B$7, 외피index!$C$7&amp;"_"&amp;COUNTIFS(D$2:$D167,외피index!$B$7,C$2:$C167,C167),
IF($D167=외피index!$B$8, 외피index!$C$8&amp;"_"&amp;COUNTIFS(D$2:$D167,외피index!$B$8,C$2:$C167,C167),
IF($D167=외피index!$B$9, 외피index!$C$9&amp;"_"&amp;COUNTIFS(D$2:$D167,외피index!$B$9,C$2:$C167,C167),
IF($D167=외피index!$B$10, 외피index!$C$10&amp;"_"&amp;COUNTIFS(D$2:$D167,외피index!$B$10,C$2:$C167,C167), 0))))))))),"")</f>
        <v>3F_Zone014_WIN_3</v>
      </c>
      <c r="B167" s="13" t="s">
        <v>35</v>
      </c>
      <c r="C167" s="13" t="s">
        <v>19</v>
      </c>
      <c r="D167" s="13" t="s">
        <v>48</v>
      </c>
      <c r="E167" s="4"/>
      <c r="F167" s="3">
        <v>3.1201138302567402</v>
      </c>
      <c r="G167" s="4"/>
      <c r="H167" s="13" t="s">
        <v>53</v>
      </c>
      <c r="I167" s="3">
        <v>90</v>
      </c>
      <c r="J167" s="4">
        <v>0</v>
      </c>
      <c r="K167" s="4">
        <v>0</v>
      </c>
      <c r="L167" s="4">
        <v>0</v>
      </c>
      <c r="M167" s="4">
        <v>9.2170495986938406</v>
      </c>
      <c r="N167" s="4"/>
      <c r="O167" s="4">
        <v>2.3999938964843701</v>
      </c>
      <c r="P167" s="4">
        <v>2.72948761088373</v>
      </c>
    </row>
    <row r="168" spans="1:16" x14ac:dyDescent="0.3">
      <c r="A168" s="12" t="str">
        <f>IFERROR(IF(D168="","",C168&amp;"_"&amp;
IF($D168=외피index!$B$3, 외피index!$C$3&amp;"_"&amp;COUNTIFS(D$2:$D168,외피index!$B$3,C$2:$C168,C168),
IF($D168=외피index!$B$4, 외피index!$C$4&amp;"_"&amp;COUNTIFS(D$2:$D168,외피index!$B$4,C$2:$C168,C168),
IF($D168=외피index!$B$5, 외피index!$C$5&amp;"_"&amp;COUNTIFS(D$2:$D168,외피index!$B$5,C$2:$C168,C168),
IF($D168=외피index!$B$6, 외피index!$C$6&amp;"_"&amp;COUNTIFS(D$2:$D168,외피index!$B$6,C$2:$C168,C168),
IF($D168=외피index!$B$7, 외피index!$C$7&amp;"_"&amp;COUNTIFS(D$2:$D168,외피index!$B$7,C$2:$C168,C168),
IF($D168=외피index!$B$8, 외피index!$C$8&amp;"_"&amp;COUNTIFS(D$2:$D168,외피index!$B$8,C$2:$C168,C168),
IF($D168=외피index!$B$9, 외피index!$C$9&amp;"_"&amp;COUNTIFS(D$2:$D168,외피index!$B$9,C$2:$C168,C168),
IF($D168=외피index!$B$10, 외피index!$C$10&amp;"_"&amp;COUNTIFS(D$2:$D168,외피index!$B$10,C$2:$C168,C168), 0))))))))),"")</f>
        <v>1F_Zone005_CW_3</v>
      </c>
      <c r="B168" s="13" t="s">
        <v>37</v>
      </c>
      <c r="C168" s="13" t="s">
        <v>42</v>
      </c>
      <c r="D168" s="13" t="s">
        <v>49</v>
      </c>
      <c r="E168" s="4" t="s">
        <v>50</v>
      </c>
      <c r="F168" s="3">
        <v>9.6350147312140209</v>
      </c>
      <c r="G168" s="4"/>
      <c r="H168" s="13" t="s">
        <v>53</v>
      </c>
      <c r="I168" s="3">
        <v>90</v>
      </c>
      <c r="J168" s="4">
        <v>0</v>
      </c>
      <c r="K168" s="4">
        <v>0</v>
      </c>
      <c r="L168" s="4">
        <v>0</v>
      </c>
      <c r="M168" s="4">
        <v>17.8819992057979</v>
      </c>
      <c r="N168" s="4"/>
      <c r="O168" s="4">
        <v>4.1000061035156197</v>
      </c>
      <c r="P168" s="4">
        <v>4.7257327996397001</v>
      </c>
    </row>
    <row r="169" spans="1:16" x14ac:dyDescent="0.3">
      <c r="A169" s="12" t="str">
        <f>IFERROR(IF(D169="","",C169&amp;"_"&amp;
IF($D169=외피index!$B$3, 외피index!$C$3&amp;"_"&amp;COUNTIFS(D$2:$D169,외피index!$B$3,C$2:$C169,C169),
IF($D169=외피index!$B$4, 외피index!$C$4&amp;"_"&amp;COUNTIFS(D$2:$D169,외피index!$B$4,C$2:$C169,C169),
IF($D169=외피index!$B$5, 외피index!$C$5&amp;"_"&amp;COUNTIFS(D$2:$D169,외피index!$B$5,C$2:$C169,C169),
IF($D169=외피index!$B$6, 외피index!$C$6&amp;"_"&amp;COUNTIFS(D$2:$D169,외피index!$B$6,C$2:$C169,C169),
IF($D169=외피index!$B$7, 외피index!$C$7&amp;"_"&amp;COUNTIFS(D$2:$D169,외피index!$B$7,C$2:$C169,C169),
IF($D169=외피index!$B$8, 외피index!$C$8&amp;"_"&amp;COUNTIFS(D$2:$D169,외피index!$B$8,C$2:$C169,C169),
IF($D169=외피index!$B$9, 외피index!$C$9&amp;"_"&amp;COUNTIFS(D$2:$D169,외피index!$B$9,C$2:$C169,C169),
IF($D169=외피index!$B$10, 외피index!$C$10&amp;"_"&amp;COUNTIFS(D$2:$D169,외피index!$B$10,C$2:$C169,C169), 0))))))))),"")</f>
        <v>1F_Zone002_WIN_4</v>
      </c>
      <c r="B169" s="13" t="s">
        <v>37</v>
      </c>
      <c r="C169" s="13" t="s">
        <v>38</v>
      </c>
      <c r="D169" s="13" t="s">
        <v>48</v>
      </c>
      <c r="E169" s="4"/>
      <c r="F169" s="3">
        <v>1.9500001072883599</v>
      </c>
      <c r="G169" s="4"/>
      <c r="H169" s="13" t="s">
        <v>53</v>
      </c>
      <c r="I169" s="3">
        <v>90</v>
      </c>
      <c r="J169" s="4">
        <v>0</v>
      </c>
      <c r="K169" s="4">
        <v>0</v>
      </c>
      <c r="L169" s="4">
        <v>0</v>
      </c>
      <c r="M169" s="4">
        <v>16.865179181098899</v>
      </c>
      <c r="N169" s="4"/>
      <c r="O169" s="4">
        <v>1.5</v>
      </c>
      <c r="P169" s="4">
        <v>1.9849433709722</v>
      </c>
    </row>
    <row r="170" spans="1:16" x14ac:dyDescent="0.3">
      <c r="A170" s="12" t="str">
        <f>IFERROR(IF(D170="","",C170&amp;"_"&amp;
IF($D170=외피index!$B$3, 외피index!$C$3&amp;"_"&amp;COUNTIFS(D$2:$D170,외피index!$B$3,C$2:$C170,C170),
IF($D170=외피index!$B$4, 외피index!$C$4&amp;"_"&amp;COUNTIFS(D$2:$D170,외피index!$B$4,C$2:$C170,C170),
IF($D170=외피index!$B$5, 외피index!$C$5&amp;"_"&amp;COUNTIFS(D$2:$D170,외피index!$B$5,C$2:$C170,C170),
IF($D170=외피index!$B$6, 외피index!$C$6&amp;"_"&amp;COUNTIFS(D$2:$D170,외피index!$B$6,C$2:$C170,C170),
IF($D170=외피index!$B$7, 외피index!$C$7&amp;"_"&amp;COUNTIFS(D$2:$D170,외피index!$B$7,C$2:$C170,C170),
IF($D170=외피index!$B$8, 외피index!$C$8&amp;"_"&amp;COUNTIFS(D$2:$D170,외피index!$B$8,C$2:$C170,C170),
IF($D170=외피index!$B$9, 외피index!$C$9&amp;"_"&amp;COUNTIFS(D$2:$D170,외피index!$B$9,C$2:$C170,C170),
IF($D170=외피index!$B$10, 외피index!$C$10&amp;"_"&amp;COUNTIFS(D$2:$D170,외피index!$B$10,C$2:$C170,C170), 0))))))))),"")</f>
        <v>3F_Zone015_WIN_3</v>
      </c>
      <c r="B170" s="13" t="s">
        <v>35</v>
      </c>
      <c r="C170" s="13" t="s">
        <v>22</v>
      </c>
      <c r="D170" s="13" t="s">
        <v>48</v>
      </c>
      <c r="E170" s="4"/>
      <c r="F170" s="3">
        <v>1.9500761032104399</v>
      </c>
      <c r="G170" s="4"/>
      <c r="H170" s="13" t="s">
        <v>53</v>
      </c>
      <c r="I170" s="3">
        <v>90</v>
      </c>
      <c r="J170" s="4">
        <v>0</v>
      </c>
      <c r="K170" s="4">
        <v>0</v>
      </c>
      <c r="L170" s="4">
        <v>0</v>
      </c>
      <c r="M170" s="4">
        <v>9.2170495986938406</v>
      </c>
      <c r="N170" s="4"/>
      <c r="O170" s="4">
        <v>1.5</v>
      </c>
      <c r="P170" s="4">
        <v>1.98497655270925</v>
      </c>
    </row>
    <row r="171" spans="1:16" x14ac:dyDescent="0.3">
      <c r="A171" s="12" t="str">
        <f>IFERROR(IF(D171="","",C171&amp;"_"&amp;
IF($D171=외피index!$B$3, 외피index!$C$3&amp;"_"&amp;COUNTIFS(D$2:$D171,외피index!$B$3,C$2:$C171,C171),
IF($D171=외피index!$B$4, 외피index!$C$4&amp;"_"&amp;COUNTIFS(D$2:$D171,외피index!$B$4,C$2:$C171,C171),
IF($D171=외피index!$B$5, 외피index!$C$5&amp;"_"&amp;COUNTIFS(D$2:$D171,외피index!$B$5,C$2:$C171,C171),
IF($D171=외피index!$B$6, 외피index!$C$6&amp;"_"&amp;COUNTIFS(D$2:$D171,외피index!$B$6,C$2:$C171,C171),
IF($D171=외피index!$B$7, 외피index!$C$7&amp;"_"&amp;COUNTIFS(D$2:$D171,외피index!$B$7,C$2:$C171,C171),
IF($D171=외피index!$B$8, 외피index!$C$8&amp;"_"&amp;COUNTIFS(D$2:$D171,외피index!$B$8,C$2:$C171,C171),
IF($D171=외피index!$B$9, 외피index!$C$9&amp;"_"&amp;COUNTIFS(D$2:$D171,외피index!$B$9,C$2:$C171,C171),
IF($D171=외피index!$B$10, 외피index!$C$10&amp;"_"&amp;COUNTIFS(D$2:$D171,외피index!$B$10,C$2:$C171,C171), 0))))))))),"")</f>
        <v>3F_Zone015_WIN_4</v>
      </c>
      <c r="B171" s="13" t="s">
        <v>35</v>
      </c>
      <c r="C171" s="13" t="s">
        <v>22</v>
      </c>
      <c r="D171" s="13" t="s">
        <v>48</v>
      </c>
      <c r="E171" s="4"/>
      <c r="F171" s="3">
        <v>1.9500761032104399</v>
      </c>
      <c r="G171" s="4"/>
      <c r="H171" s="13" t="s">
        <v>53</v>
      </c>
      <c r="I171" s="3">
        <v>90</v>
      </c>
      <c r="J171" s="4">
        <v>0</v>
      </c>
      <c r="K171" s="4">
        <v>0</v>
      </c>
      <c r="L171" s="4">
        <v>0</v>
      </c>
      <c r="M171" s="4">
        <v>9.2170495986938406</v>
      </c>
      <c r="N171" s="4"/>
      <c r="O171" s="4">
        <v>1.5</v>
      </c>
      <c r="P171" s="4">
        <v>1.98497655270925</v>
      </c>
    </row>
    <row r="172" spans="1:16" x14ac:dyDescent="0.3">
      <c r="A172" s="12" t="str">
        <f>IFERROR(IF(D172="","",C172&amp;"_"&amp;
IF($D172=외피index!$B$3, 외피index!$C$3&amp;"_"&amp;COUNTIFS(D$2:$D172,외피index!$B$3,C$2:$C172,C172),
IF($D172=외피index!$B$4, 외피index!$C$4&amp;"_"&amp;COUNTIFS(D$2:$D172,외피index!$B$4,C$2:$C172,C172),
IF($D172=외피index!$B$5, 외피index!$C$5&amp;"_"&amp;COUNTIFS(D$2:$D172,외피index!$B$5,C$2:$C172,C172),
IF($D172=외피index!$B$6, 외피index!$C$6&amp;"_"&amp;COUNTIFS(D$2:$D172,외피index!$B$6,C$2:$C172,C172),
IF($D172=외피index!$B$7, 외피index!$C$7&amp;"_"&amp;COUNTIFS(D$2:$D172,외피index!$B$7,C$2:$C172,C172),
IF($D172=외피index!$B$8, 외피index!$C$8&amp;"_"&amp;COUNTIFS(D$2:$D172,외피index!$B$8,C$2:$C172,C172),
IF($D172=외피index!$B$9, 외피index!$C$9&amp;"_"&amp;COUNTIFS(D$2:$D172,외피index!$B$9,C$2:$C172,C172),
IF($D172=외피index!$B$10, 외피index!$C$10&amp;"_"&amp;COUNTIFS(D$2:$D172,외피index!$B$10,C$2:$C172,C172), 0))))))))),"")</f>
        <v>2F_Zone009_WIN_1</v>
      </c>
      <c r="B172" s="13" t="s">
        <v>16</v>
      </c>
      <c r="C172" s="13" t="s">
        <v>27</v>
      </c>
      <c r="D172" s="13" t="s">
        <v>48</v>
      </c>
      <c r="E172" s="4"/>
      <c r="F172" s="3">
        <v>1.95000028610229</v>
      </c>
      <c r="G172" s="4"/>
      <c r="H172" s="13" t="s">
        <v>53</v>
      </c>
      <c r="I172" s="3">
        <v>90</v>
      </c>
      <c r="J172" s="4">
        <v>0</v>
      </c>
      <c r="K172" s="4">
        <v>0</v>
      </c>
      <c r="L172" s="4">
        <v>0</v>
      </c>
      <c r="M172" s="4">
        <v>12.6623191833496</v>
      </c>
      <c r="N172" s="4"/>
      <c r="O172" s="4">
        <v>1.5</v>
      </c>
      <c r="P172" s="4">
        <v>1.9849434490460101</v>
      </c>
    </row>
    <row r="173" spans="1:16" x14ac:dyDescent="0.3">
      <c r="A173" s="12" t="str">
        <f>IFERROR(IF(D173="","",C173&amp;"_"&amp;
IF($D173=외피index!$B$3, 외피index!$C$3&amp;"_"&amp;COUNTIFS(D$2:$D173,외피index!$B$3,C$2:$C173,C173),
IF($D173=외피index!$B$4, 외피index!$C$4&amp;"_"&amp;COUNTIFS(D$2:$D173,외피index!$B$4,C$2:$C173,C173),
IF($D173=외피index!$B$5, 외피index!$C$5&amp;"_"&amp;COUNTIFS(D$2:$D173,외피index!$B$5,C$2:$C173,C173),
IF($D173=외피index!$B$6, 외피index!$C$6&amp;"_"&amp;COUNTIFS(D$2:$D173,외피index!$B$6,C$2:$C173,C173),
IF($D173=외피index!$B$7, 외피index!$C$7&amp;"_"&amp;COUNTIFS(D$2:$D173,외피index!$B$7,C$2:$C173,C173),
IF($D173=외피index!$B$8, 외피index!$C$8&amp;"_"&amp;COUNTIFS(D$2:$D173,외피index!$B$8,C$2:$C173,C173),
IF($D173=외피index!$B$9, 외피index!$C$9&amp;"_"&amp;COUNTIFS(D$2:$D173,외피index!$B$9,C$2:$C173,C173),
IF($D173=외피index!$B$10, 외피index!$C$10&amp;"_"&amp;COUNTIFS(D$2:$D173,외피index!$B$10,C$2:$C173,C173), 0))))))))),"")</f>
        <v>4F_Zone021_DR_1</v>
      </c>
      <c r="B173" s="13" t="s">
        <v>41</v>
      </c>
      <c r="C173" s="13" t="s">
        <v>36</v>
      </c>
      <c r="D173" s="13" t="s">
        <v>51</v>
      </c>
      <c r="E173" s="4"/>
      <c r="F173" s="3">
        <v>1.88998666763654</v>
      </c>
      <c r="G173" s="4"/>
      <c r="H173" s="13" t="s">
        <v>53</v>
      </c>
      <c r="I173" s="3">
        <v>90</v>
      </c>
      <c r="J173" s="4"/>
      <c r="K173" s="4"/>
      <c r="L173" s="4"/>
      <c r="M173" s="4"/>
      <c r="N173" s="4"/>
      <c r="O173" s="4">
        <v>0.899993896484375</v>
      </c>
      <c r="P173" s="4">
        <v>2.2847290015339099</v>
      </c>
    </row>
    <row r="174" spans="1:16" x14ac:dyDescent="0.3">
      <c r="A174" s="12" t="str">
        <f>IFERROR(IF(D174="","",C174&amp;"_"&amp;
IF($D174=외피index!$B$3, 외피index!$C$3&amp;"_"&amp;COUNTIFS(D$2:$D174,외피index!$B$3,C$2:$C174,C174),
IF($D174=외피index!$B$4, 외피index!$C$4&amp;"_"&amp;COUNTIFS(D$2:$D174,외피index!$B$4,C$2:$C174,C174),
IF($D174=외피index!$B$5, 외피index!$C$5&amp;"_"&amp;COUNTIFS(D$2:$D174,외피index!$B$5,C$2:$C174,C174),
IF($D174=외피index!$B$6, 외피index!$C$6&amp;"_"&amp;COUNTIFS(D$2:$D174,외피index!$B$6,C$2:$C174,C174),
IF($D174=외피index!$B$7, 외피index!$C$7&amp;"_"&amp;COUNTIFS(D$2:$D174,외피index!$B$7,C$2:$C174,C174),
IF($D174=외피index!$B$8, 외피index!$C$8&amp;"_"&amp;COUNTIFS(D$2:$D174,외피index!$B$8,C$2:$C174,C174),
IF($D174=외피index!$B$9, 외피index!$C$9&amp;"_"&amp;COUNTIFS(D$2:$D174,외피index!$B$9,C$2:$C174,C174),
IF($D174=외피index!$B$10, 외피index!$C$10&amp;"_"&amp;COUNTIFS(D$2:$D174,외피index!$B$10,C$2:$C174,C174), 0))))))))),"")</f>
        <v>1F_Zone002_IW_2</v>
      </c>
      <c r="B174" s="13" t="s">
        <v>37</v>
      </c>
      <c r="C174" s="13" t="s">
        <v>38</v>
      </c>
      <c r="D174" s="13" t="s">
        <v>45</v>
      </c>
      <c r="E174" s="4"/>
      <c r="F174" s="3">
        <v>30.800000667572</v>
      </c>
      <c r="G174" s="4" t="s">
        <v>39</v>
      </c>
      <c r="H174" s="13" t="s">
        <v>54</v>
      </c>
      <c r="I174" s="3">
        <v>90</v>
      </c>
      <c r="J174" s="4"/>
      <c r="K174" s="4"/>
      <c r="L174" s="4"/>
      <c r="M174" s="4"/>
      <c r="N174" s="4">
        <v>7</v>
      </c>
      <c r="O174" s="4"/>
      <c r="P174" s="4"/>
    </row>
    <row r="175" spans="1:16" x14ac:dyDescent="0.3">
      <c r="A175" s="12" t="str">
        <f>IFERROR(IF(D175="","",C175&amp;"_"&amp;
IF($D175=외피index!$B$3, 외피index!$C$3&amp;"_"&amp;COUNTIFS(D$2:$D175,외피index!$B$3,C$2:$C175,C175),
IF($D175=외피index!$B$4, 외피index!$C$4&amp;"_"&amp;COUNTIFS(D$2:$D175,외피index!$B$4,C$2:$C175,C175),
IF($D175=외피index!$B$5, 외피index!$C$5&amp;"_"&amp;COUNTIFS(D$2:$D175,외피index!$B$5,C$2:$C175,C175),
IF($D175=외피index!$B$6, 외피index!$C$6&amp;"_"&amp;COUNTIFS(D$2:$D175,외피index!$B$6,C$2:$C175,C175),
IF($D175=외피index!$B$7, 외피index!$C$7&amp;"_"&amp;COUNTIFS(D$2:$D175,외피index!$B$7,C$2:$C175,C175),
IF($D175=외피index!$B$8, 외피index!$C$8&amp;"_"&amp;COUNTIFS(D$2:$D175,외피index!$B$8,C$2:$C175,C175),
IF($D175=외피index!$B$9, 외피index!$C$9&amp;"_"&amp;COUNTIFS(D$2:$D175,외피index!$B$9,C$2:$C175,C175),
IF($D175=외피index!$B$10, 외피index!$C$10&amp;"_"&amp;COUNTIFS(D$2:$D175,외피index!$B$10,C$2:$C175,C175), 0))))))))),"")</f>
        <v>2F_Zone006_IW_2</v>
      </c>
      <c r="B175" s="13" t="s">
        <v>16</v>
      </c>
      <c r="C175" s="13" t="s">
        <v>17</v>
      </c>
      <c r="D175" s="13" t="s">
        <v>45</v>
      </c>
      <c r="E175" s="4"/>
      <c r="F175" s="3">
        <v>22.3999986648559</v>
      </c>
      <c r="G175" s="4" t="s">
        <v>25</v>
      </c>
      <c r="H175" s="13" t="s">
        <v>54</v>
      </c>
      <c r="I175" s="3">
        <v>90</v>
      </c>
      <c r="J175" s="4"/>
      <c r="K175" s="4"/>
      <c r="L175" s="4"/>
      <c r="M175" s="4"/>
      <c r="N175" s="4">
        <v>7</v>
      </c>
      <c r="O175" s="4"/>
      <c r="P175" s="4"/>
    </row>
    <row r="176" spans="1:16" x14ac:dyDescent="0.3">
      <c r="A176" s="12" t="str">
        <f>IFERROR(IF(D176="","",C176&amp;"_"&amp;
IF($D176=외피index!$B$3, 외피index!$C$3&amp;"_"&amp;COUNTIFS(D$2:$D176,외피index!$B$3,C$2:$C176,C176),
IF($D176=외피index!$B$4, 외피index!$C$4&amp;"_"&amp;COUNTIFS(D$2:$D176,외피index!$B$4,C$2:$C176,C176),
IF($D176=외피index!$B$5, 외피index!$C$5&amp;"_"&amp;COUNTIFS(D$2:$D176,외피index!$B$5,C$2:$C176,C176),
IF($D176=외피index!$B$6, 외피index!$C$6&amp;"_"&amp;COUNTIFS(D$2:$D176,외피index!$B$6,C$2:$C176,C176),
IF($D176=외피index!$B$7, 외피index!$C$7&amp;"_"&amp;COUNTIFS(D$2:$D176,외피index!$B$7,C$2:$C176,C176),
IF($D176=외피index!$B$8, 외피index!$C$8&amp;"_"&amp;COUNTIFS(D$2:$D176,외피index!$B$8,C$2:$C176,C176),
IF($D176=외피index!$B$9, 외피index!$C$9&amp;"_"&amp;COUNTIFS(D$2:$D176,외피index!$B$9,C$2:$C176,C176),
IF($D176=외피index!$B$10, 외피index!$C$10&amp;"_"&amp;COUNTIFS(D$2:$D176,외피index!$B$10,C$2:$C176,C176), 0))))))))),"")</f>
        <v>3F_Zone015_IW_3</v>
      </c>
      <c r="B176" s="13" t="s">
        <v>35</v>
      </c>
      <c r="C176" s="13" t="s">
        <v>22</v>
      </c>
      <c r="D176" s="13" t="s">
        <v>45</v>
      </c>
      <c r="E176" s="4"/>
      <c r="F176" s="3">
        <v>14.5120130162249</v>
      </c>
      <c r="G176" s="4" t="s">
        <v>31</v>
      </c>
      <c r="H176" s="13" t="s">
        <v>54</v>
      </c>
      <c r="I176" s="3">
        <v>90</v>
      </c>
      <c r="J176" s="4"/>
      <c r="K176" s="4"/>
      <c r="L176" s="4"/>
      <c r="M176" s="4"/>
      <c r="N176" s="4">
        <v>4.5350036621093697</v>
      </c>
      <c r="O176" s="4"/>
      <c r="P176" s="4"/>
    </row>
    <row r="177" spans="1:16" x14ac:dyDescent="0.3">
      <c r="A177" s="12" t="str">
        <f>IFERROR(IF(D177="","",C177&amp;"_"&amp;
IF($D177=외피index!$B$3, 외피index!$C$3&amp;"_"&amp;COUNTIFS(D$2:$D177,외피index!$B$3,C$2:$C177,C177),
IF($D177=외피index!$B$4, 외피index!$C$4&amp;"_"&amp;COUNTIFS(D$2:$D177,외피index!$B$4,C$2:$C177,C177),
IF($D177=외피index!$B$5, 외피index!$C$5&amp;"_"&amp;COUNTIFS(D$2:$D177,외피index!$B$5,C$2:$C177,C177),
IF($D177=외피index!$B$6, 외피index!$C$6&amp;"_"&amp;COUNTIFS(D$2:$D177,외피index!$B$6,C$2:$C177,C177),
IF($D177=외피index!$B$7, 외피index!$C$7&amp;"_"&amp;COUNTIFS(D$2:$D177,외피index!$B$7,C$2:$C177,C177),
IF($D177=외피index!$B$8, 외피index!$C$8&amp;"_"&amp;COUNTIFS(D$2:$D177,외피index!$B$8,C$2:$C177,C177),
IF($D177=외피index!$B$9, 외피index!$C$9&amp;"_"&amp;COUNTIFS(D$2:$D177,외피index!$B$9,C$2:$C177,C177),
IF($D177=외피index!$B$10, 외피index!$C$10&amp;"_"&amp;COUNTIFS(D$2:$D177,외피index!$B$10,C$2:$C177,C177), 0))))))))),"")</f>
        <v>3F_Zone014_IW_3</v>
      </c>
      <c r="B177" s="13" t="s">
        <v>35</v>
      </c>
      <c r="C177" s="13" t="s">
        <v>19</v>
      </c>
      <c r="D177" s="13" t="s">
        <v>45</v>
      </c>
      <c r="E177" s="4"/>
      <c r="F177" s="3">
        <v>13.440040264133099</v>
      </c>
      <c r="G177" s="4" t="s">
        <v>26</v>
      </c>
      <c r="H177" s="13" t="s">
        <v>54</v>
      </c>
      <c r="I177" s="3">
        <v>90</v>
      </c>
      <c r="J177" s="4"/>
      <c r="K177" s="4"/>
      <c r="L177" s="4"/>
      <c r="M177" s="4"/>
      <c r="N177" s="4">
        <v>4.20001220703125</v>
      </c>
      <c r="O177" s="4"/>
      <c r="P177" s="4"/>
    </row>
    <row r="178" spans="1:16" x14ac:dyDescent="0.3">
      <c r="A178" s="12" t="str">
        <f>IFERROR(IF(D178="","",C178&amp;"_"&amp;
IF($D178=외피index!$B$3, 외피index!$C$3&amp;"_"&amp;COUNTIFS(D$2:$D178,외피index!$B$3,C$2:$C178,C178),
IF($D178=외피index!$B$4, 외피index!$C$4&amp;"_"&amp;COUNTIFS(D$2:$D178,외피index!$B$4,C$2:$C178,C178),
IF($D178=외피index!$B$5, 외피index!$C$5&amp;"_"&amp;COUNTIFS(D$2:$D178,외피index!$B$5,C$2:$C178,C178),
IF($D178=외피index!$B$6, 외피index!$C$6&amp;"_"&amp;COUNTIFS(D$2:$D178,외피index!$B$6,C$2:$C178,C178),
IF($D178=외피index!$B$7, 외피index!$C$7&amp;"_"&amp;COUNTIFS(D$2:$D178,외피index!$B$7,C$2:$C178,C178),
IF($D178=외피index!$B$8, 외피index!$C$8&amp;"_"&amp;COUNTIFS(D$2:$D178,외피index!$B$8,C$2:$C178,C178),
IF($D178=외피index!$B$9, 외피index!$C$9&amp;"_"&amp;COUNTIFS(D$2:$D178,외피index!$B$9,C$2:$C178,C178),
IF($D178=외피index!$B$10, 외피index!$C$10&amp;"_"&amp;COUNTIFS(D$2:$D178,외피index!$B$10,C$2:$C178,C178), 0))))))))),"")</f>
        <v>2F_Zone009_IW_3</v>
      </c>
      <c r="B178" s="13" t="s">
        <v>16</v>
      </c>
      <c r="C178" s="13" t="s">
        <v>27</v>
      </c>
      <c r="D178" s="13" t="s">
        <v>45</v>
      </c>
      <c r="E178" s="4"/>
      <c r="F178" s="3">
        <v>8.6400385475135408</v>
      </c>
      <c r="G178" s="4" t="s">
        <v>25</v>
      </c>
      <c r="H178" s="13" t="s">
        <v>54</v>
      </c>
      <c r="I178" s="3">
        <v>90</v>
      </c>
      <c r="J178" s="4"/>
      <c r="K178" s="4"/>
      <c r="L178" s="4"/>
      <c r="M178" s="4"/>
      <c r="N178" s="4">
        <v>2.70001220703125</v>
      </c>
      <c r="O178" s="4"/>
      <c r="P178" s="4"/>
    </row>
    <row r="179" spans="1:16" x14ac:dyDescent="0.3">
      <c r="A179" s="12" t="str">
        <f>IFERROR(IF(D179="","",C179&amp;"_"&amp;
IF($D179=외피index!$B$3, 외피index!$C$3&amp;"_"&amp;COUNTIFS(D$2:$D179,외피index!$B$3,C$2:$C179,C179),
IF($D179=외피index!$B$4, 외피index!$C$4&amp;"_"&amp;COUNTIFS(D$2:$D179,외피index!$B$4,C$2:$C179,C179),
IF($D179=외피index!$B$5, 외피index!$C$5&amp;"_"&amp;COUNTIFS(D$2:$D179,외피index!$B$5,C$2:$C179,C179),
IF($D179=외피index!$B$6, 외피index!$C$6&amp;"_"&amp;COUNTIFS(D$2:$D179,외피index!$B$6,C$2:$C179,C179),
IF($D179=외피index!$B$7, 외피index!$C$7&amp;"_"&amp;COUNTIFS(D$2:$D179,외피index!$B$7,C$2:$C179,C179),
IF($D179=외피index!$B$8, 외피index!$C$8&amp;"_"&amp;COUNTIFS(D$2:$D179,외피index!$B$8,C$2:$C179,C179),
IF($D179=외피index!$B$9, 외피index!$C$9&amp;"_"&amp;COUNTIFS(D$2:$D179,외피index!$B$9,C$2:$C179,C179),
IF($D179=외피index!$B$10, 외피index!$C$10&amp;"_"&amp;COUNTIFS(D$2:$D179,외피index!$B$10,C$2:$C179,C179), 0))))))))),"")</f>
        <v>3F_Zone015_IW_4</v>
      </c>
      <c r="B179" s="13" t="s">
        <v>35</v>
      </c>
      <c r="C179" s="13" t="s">
        <v>22</v>
      </c>
      <c r="D179" s="13" t="s">
        <v>45</v>
      </c>
      <c r="E179" s="4"/>
      <c r="F179" s="3">
        <v>8.2080085463530796</v>
      </c>
      <c r="G179" s="4" t="s">
        <v>33</v>
      </c>
      <c r="H179" s="13" t="s">
        <v>54</v>
      </c>
      <c r="I179" s="3">
        <v>90</v>
      </c>
      <c r="J179" s="4"/>
      <c r="K179" s="4"/>
      <c r="L179" s="4"/>
      <c r="M179" s="4"/>
      <c r="N179" s="4">
        <v>2.56500244140625</v>
      </c>
      <c r="O179" s="4"/>
      <c r="P179" s="4"/>
    </row>
    <row r="180" spans="1:16" x14ac:dyDescent="0.3">
      <c r="A180" s="12" t="str">
        <f>IFERROR(IF(D180="","",C180&amp;"_"&amp;
IF($D180=외피index!$B$3, 외피index!$C$3&amp;"_"&amp;COUNTIFS(D$2:$D180,외피index!$B$3,C$2:$C180,C180),
IF($D180=외피index!$B$4, 외피index!$C$4&amp;"_"&amp;COUNTIFS(D$2:$D180,외피index!$B$4,C$2:$C180,C180),
IF($D180=외피index!$B$5, 외피index!$C$5&amp;"_"&amp;COUNTIFS(D$2:$D180,외피index!$B$5,C$2:$C180,C180),
IF($D180=외피index!$B$6, 외피index!$C$6&amp;"_"&amp;COUNTIFS(D$2:$D180,외피index!$B$6,C$2:$C180,C180),
IF($D180=외피index!$B$7, 외피index!$C$7&amp;"_"&amp;COUNTIFS(D$2:$D180,외피index!$B$7,C$2:$C180,C180),
IF($D180=외피index!$B$8, 외피index!$C$8&amp;"_"&amp;COUNTIFS(D$2:$D180,외피index!$B$8,C$2:$C180,C180),
IF($D180=외피index!$B$9, 외피index!$C$9&amp;"_"&amp;COUNTIFS(D$2:$D180,외피index!$B$9,C$2:$C180,C180),
IF($D180=외피index!$B$10, 외피index!$C$10&amp;"_"&amp;COUNTIFS(D$2:$D180,외피index!$B$10,C$2:$C180,C180), 0))))))))),"")</f>
        <v>2F_Zone007_IW_2</v>
      </c>
      <c r="B180" s="13" t="s">
        <v>16</v>
      </c>
      <c r="C180" s="13" t="s">
        <v>21</v>
      </c>
      <c r="D180" s="13" t="s">
        <v>45</v>
      </c>
      <c r="E180" s="4"/>
      <c r="F180" s="3">
        <v>7.6799800109874896</v>
      </c>
      <c r="G180" s="4" t="s">
        <v>25</v>
      </c>
      <c r="H180" s="13" t="s">
        <v>54</v>
      </c>
      <c r="I180" s="3">
        <v>90</v>
      </c>
      <c r="J180" s="4"/>
      <c r="K180" s="4"/>
      <c r="L180" s="4"/>
      <c r="M180" s="4"/>
      <c r="N180" s="4">
        <v>2.3999938964843701</v>
      </c>
      <c r="O180" s="4"/>
      <c r="P180" s="4"/>
    </row>
    <row r="181" spans="1:16" x14ac:dyDescent="0.3">
      <c r="A181" s="12" t="str">
        <f>IFERROR(IF(D181="","",C181&amp;"_"&amp;
IF($D181=외피index!$B$3, 외피index!$C$3&amp;"_"&amp;COUNTIFS(D$2:$D181,외피index!$B$3,C$2:$C181,C181),
IF($D181=외피index!$B$4, 외피index!$C$4&amp;"_"&amp;COUNTIFS(D$2:$D181,외피index!$B$4,C$2:$C181,C181),
IF($D181=외피index!$B$5, 외피index!$C$5&amp;"_"&amp;COUNTIFS(D$2:$D181,외피index!$B$5,C$2:$C181,C181),
IF($D181=외피index!$B$6, 외피index!$C$6&amp;"_"&amp;COUNTIFS(D$2:$D181,외피index!$B$6,C$2:$C181,C181),
IF($D181=외피index!$B$7, 외피index!$C$7&amp;"_"&amp;COUNTIFS(D$2:$D181,외피index!$B$7,C$2:$C181,C181),
IF($D181=외피index!$B$8, 외피index!$C$8&amp;"_"&amp;COUNTIFS(D$2:$D181,외피index!$B$8,C$2:$C181,C181),
IF($D181=외피index!$B$9, 외피index!$C$9&amp;"_"&amp;COUNTIFS(D$2:$D181,외피index!$B$9,C$2:$C181,C181),
IF($D181=외피index!$B$10, 외피index!$C$10&amp;"_"&amp;COUNTIFS(D$2:$D181,외피index!$B$10,C$2:$C181,C181), 0))))))))),"")</f>
        <v>2F_Zone007_IW_3</v>
      </c>
      <c r="B181" s="13" t="s">
        <v>16</v>
      </c>
      <c r="C181" s="13" t="s">
        <v>21</v>
      </c>
      <c r="D181" s="13" t="s">
        <v>45</v>
      </c>
      <c r="E181" s="4"/>
      <c r="F181" s="3">
        <v>6.3999996185302699</v>
      </c>
      <c r="G181" s="4" t="s">
        <v>32</v>
      </c>
      <c r="H181" s="13" t="s">
        <v>54</v>
      </c>
      <c r="I181" s="3">
        <v>90</v>
      </c>
      <c r="J181" s="4"/>
      <c r="K181" s="4"/>
      <c r="L181" s="4"/>
      <c r="M181" s="4"/>
      <c r="N181" s="4">
        <v>2</v>
      </c>
      <c r="O181" s="4"/>
      <c r="P181" s="4"/>
    </row>
    <row r="182" spans="1:16" x14ac:dyDescent="0.3">
      <c r="A182" s="12" t="str">
        <f>IFERROR(IF(D182="","",C182&amp;"_"&amp;
IF($D182=외피index!$B$3, 외피index!$C$3&amp;"_"&amp;COUNTIFS(D$2:$D182,외피index!$B$3,C$2:$C182,C182),
IF($D182=외피index!$B$4, 외피index!$C$4&amp;"_"&amp;COUNTIFS(D$2:$D182,외피index!$B$4,C$2:$C182,C182),
IF($D182=외피index!$B$5, 외피index!$C$5&amp;"_"&amp;COUNTIFS(D$2:$D182,외피index!$B$5,C$2:$C182,C182),
IF($D182=외피index!$B$6, 외피index!$C$6&amp;"_"&amp;COUNTIFS(D$2:$D182,외피index!$B$6,C$2:$C182,C182),
IF($D182=외피index!$B$7, 외피index!$C$7&amp;"_"&amp;COUNTIFS(D$2:$D182,외피index!$B$7,C$2:$C182,C182),
IF($D182=외피index!$B$8, 외피index!$C$8&amp;"_"&amp;COUNTIFS(D$2:$D182,외피index!$B$8,C$2:$C182,C182),
IF($D182=외피index!$B$9, 외피index!$C$9&amp;"_"&amp;COUNTIFS(D$2:$D182,외피index!$B$9,C$2:$C182,C182),
IF($D182=외피index!$B$10, 외피index!$C$10&amp;"_"&amp;COUNTIFS(D$2:$D182,외피index!$B$10,C$2:$C182,C182), 0))))))))),"")</f>
        <v>1F_Zone002_WL_4</v>
      </c>
      <c r="B182" s="13" t="s">
        <v>37</v>
      </c>
      <c r="C182" s="13" t="s">
        <v>38</v>
      </c>
      <c r="D182" s="13" t="s">
        <v>47</v>
      </c>
      <c r="E182" s="4"/>
      <c r="F182" s="3">
        <v>5.2799866867062502</v>
      </c>
      <c r="G182" s="4"/>
      <c r="H182" s="13" t="s">
        <v>54</v>
      </c>
      <c r="I182" s="3">
        <v>90</v>
      </c>
      <c r="J182" s="4"/>
      <c r="K182" s="4"/>
      <c r="L182" s="4"/>
      <c r="M182" s="4"/>
      <c r="N182" s="4">
        <v>1.19999694824218</v>
      </c>
      <c r="O182" s="4"/>
      <c r="P182" s="4"/>
    </row>
    <row r="183" spans="1:16" x14ac:dyDescent="0.3">
      <c r="A183" s="12" t="str">
        <f>IFERROR(IF(D183="","",C183&amp;"_"&amp;
IF($D183=외피index!$B$3, 외피index!$C$3&amp;"_"&amp;COUNTIFS(D$2:$D183,외피index!$B$3,C$2:$C183,C183),
IF($D183=외피index!$B$4, 외피index!$C$4&amp;"_"&amp;COUNTIFS(D$2:$D183,외피index!$B$4,C$2:$C183,C183),
IF($D183=외피index!$B$5, 외피index!$C$5&amp;"_"&amp;COUNTIFS(D$2:$D183,외피index!$B$5,C$2:$C183,C183),
IF($D183=외피index!$B$6, 외피index!$C$6&amp;"_"&amp;COUNTIFS(D$2:$D183,외피index!$B$6,C$2:$C183,C183),
IF($D183=외피index!$B$7, 외피index!$C$7&amp;"_"&amp;COUNTIFS(D$2:$D183,외피index!$B$7,C$2:$C183,C183),
IF($D183=외피index!$B$8, 외피index!$C$8&amp;"_"&amp;COUNTIFS(D$2:$D183,외피index!$B$8,C$2:$C183,C183),
IF($D183=외피index!$B$9, 외피index!$C$9&amp;"_"&amp;COUNTIFS(D$2:$D183,외피index!$B$9,C$2:$C183,C183),
IF($D183=외피index!$B$10, 외피index!$C$10&amp;"_"&amp;COUNTIFS(D$2:$D183,외피index!$B$10,C$2:$C183,C183), 0))))))))),"")</f>
        <v>3F_Zone014_WL_3</v>
      </c>
      <c r="B183" s="13" t="s">
        <v>35</v>
      </c>
      <c r="C183" s="13" t="s">
        <v>19</v>
      </c>
      <c r="D183" s="13" t="s">
        <v>47</v>
      </c>
      <c r="E183" s="4"/>
      <c r="F183" s="3">
        <v>3.8399905776968799</v>
      </c>
      <c r="G183" s="4"/>
      <c r="H183" s="13" t="s">
        <v>54</v>
      </c>
      <c r="I183" s="3">
        <v>90</v>
      </c>
      <c r="J183" s="4"/>
      <c r="K183" s="4"/>
      <c r="L183" s="4"/>
      <c r="M183" s="4"/>
      <c r="N183" s="4">
        <v>1.19999694824218</v>
      </c>
      <c r="O183" s="4"/>
      <c r="P183" s="4"/>
    </row>
    <row r="184" spans="1:16" x14ac:dyDescent="0.3">
      <c r="A184" s="12" t="str">
        <f>IFERROR(IF(D184="","",C184&amp;"_"&amp;
IF($D184=외피index!$B$3, 외피index!$C$3&amp;"_"&amp;COUNTIFS(D$2:$D184,외피index!$B$3,C$2:$C184,C184),
IF($D184=외피index!$B$4, 외피index!$C$4&amp;"_"&amp;COUNTIFS(D$2:$D184,외피index!$B$4,C$2:$C184,C184),
IF($D184=외피index!$B$5, 외피index!$C$5&amp;"_"&amp;COUNTIFS(D$2:$D184,외피index!$B$5,C$2:$C184,C184),
IF($D184=외피index!$B$6, 외피index!$C$6&amp;"_"&amp;COUNTIFS(D$2:$D184,외피index!$B$6,C$2:$C184,C184),
IF($D184=외피index!$B$7, 외피index!$C$7&amp;"_"&amp;COUNTIFS(D$2:$D184,외피index!$B$7,C$2:$C184,C184),
IF($D184=외피index!$B$8, 외피index!$C$8&amp;"_"&amp;COUNTIFS(D$2:$D184,외피index!$B$8,C$2:$C184,C184),
IF($D184=외피index!$B$9, 외피index!$C$9&amp;"_"&amp;COUNTIFS(D$2:$D184,외피index!$B$9,C$2:$C184,C184),
IF($D184=외피index!$B$10, 외피index!$C$10&amp;"_"&amp;COUNTIFS(D$2:$D184,외피index!$B$10,C$2:$C184,C184), 0))))))))),"")</f>
        <v>2F_Zone006_WL_3</v>
      </c>
      <c r="B184" s="13" t="s">
        <v>16</v>
      </c>
      <c r="C184" s="13" t="s">
        <v>17</v>
      </c>
      <c r="D184" s="13" t="s">
        <v>47</v>
      </c>
      <c r="E184" s="4"/>
      <c r="F184" s="3">
        <v>3.8399900054937399</v>
      </c>
      <c r="G184" s="4"/>
      <c r="H184" s="13" t="s">
        <v>54</v>
      </c>
      <c r="I184" s="3">
        <v>90</v>
      </c>
      <c r="J184" s="4"/>
      <c r="K184" s="4"/>
      <c r="L184" s="4"/>
      <c r="M184" s="4"/>
      <c r="N184" s="4">
        <v>1.19999694824218</v>
      </c>
      <c r="O184" s="4"/>
      <c r="P184" s="4"/>
    </row>
    <row r="185" spans="1:16" x14ac:dyDescent="0.3">
      <c r="A185" s="12" t="str">
        <f>IFERROR(IF(D185="","",C185&amp;"_"&amp;
IF($D185=외피index!$B$3, 외피index!$C$3&amp;"_"&amp;COUNTIFS(D$2:$D185,외피index!$B$3,C$2:$C185,C185),
IF($D185=외피index!$B$4, 외피index!$C$4&amp;"_"&amp;COUNTIFS(D$2:$D185,외피index!$B$4,C$2:$C185,C185),
IF($D185=외피index!$B$5, 외피index!$C$5&amp;"_"&amp;COUNTIFS(D$2:$D185,외피index!$B$5,C$2:$C185,C185),
IF($D185=외피index!$B$6, 외피index!$C$6&amp;"_"&amp;COUNTIFS(D$2:$D185,외피index!$B$6,C$2:$C185,C185),
IF($D185=외피index!$B$7, 외피index!$C$7&amp;"_"&amp;COUNTIFS(D$2:$D185,외피index!$B$7,C$2:$C185,C185),
IF($D185=외피index!$B$8, 외피index!$C$8&amp;"_"&amp;COUNTIFS(D$2:$D185,외피index!$B$8,C$2:$C185,C185),
IF($D185=외피index!$B$9, 외피index!$C$9&amp;"_"&amp;COUNTIFS(D$2:$D185,외피index!$B$9,C$2:$C185,C185),
IF($D185=외피index!$B$10, 외피index!$C$10&amp;"_"&amp;COUNTIFS(D$2:$D185,외피index!$B$10,C$2:$C185,C185), 0))))))))),"")</f>
        <v>2F_Zone008_IW_6</v>
      </c>
      <c r="B185" s="13" t="s">
        <v>16</v>
      </c>
      <c r="C185" s="13" t="s">
        <v>25</v>
      </c>
      <c r="D185" s="13" t="s">
        <v>45</v>
      </c>
      <c r="E185" s="4"/>
      <c r="F185" s="3">
        <v>22.3999986648559</v>
      </c>
      <c r="G185" s="4" t="s">
        <v>23</v>
      </c>
      <c r="H185" s="13" t="s">
        <v>54</v>
      </c>
      <c r="I185" s="3">
        <v>90</v>
      </c>
      <c r="J185" s="4"/>
      <c r="K185" s="4"/>
      <c r="L185" s="4"/>
      <c r="M185" s="4"/>
      <c r="N185" s="4">
        <v>7</v>
      </c>
      <c r="O185" s="4"/>
      <c r="P185" s="4"/>
    </row>
    <row r="186" spans="1:16" x14ac:dyDescent="0.3">
      <c r="A186" s="12" t="str">
        <f>IFERROR(IF(D186="","",C186&amp;"_"&amp;
IF($D186=외피index!$B$3, 외피index!$C$3&amp;"_"&amp;COUNTIFS(D$2:$D186,외피index!$B$3,C$2:$C186,C186),
IF($D186=외피index!$B$4, 외피index!$C$4&amp;"_"&amp;COUNTIFS(D$2:$D186,외피index!$B$4,C$2:$C186,C186),
IF($D186=외피index!$B$5, 외피index!$C$5&amp;"_"&amp;COUNTIFS(D$2:$D186,외피index!$B$5,C$2:$C186,C186),
IF($D186=외피index!$B$6, 외피index!$C$6&amp;"_"&amp;COUNTIFS(D$2:$D186,외피index!$B$6,C$2:$C186,C186),
IF($D186=외피index!$B$7, 외피index!$C$7&amp;"_"&amp;COUNTIFS(D$2:$D186,외피index!$B$7,C$2:$C186,C186),
IF($D186=외피index!$B$8, 외피index!$C$8&amp;"_"&amp;COUNTIFS(D$2:$D186,외피index!$B$8,C$2:$C186,C186),
IF($D186=외피index!$B$9, 외피index!$C$9&amp;"_"&amp;COUNTIFS(D$2:$D186,외피index!$B$9,C$2:$C186,C186),
IF($D186=외피index!$B$10, 외피index!$C$10&amp;"_"&amp;COUNTIFS(D$2:$D186,외피index!$B$10,C$2:$C186,C186), 0))))))))),"")</f>
        <v>4F_Zone021_WL_4</v>
      </c>
      <c r="B186" s="13" t="s">
        <v>41</v>
      </c>
      <c r="C186" s="13" t="s">
        <v>36</v>
      </c>
      <c r="D186" s="13" t="s">
        <v>47</v>
      </c>
      <c r="E186" s="4"/>
      <c r="F186" s="3">
        <v>18.600001335144</v>
      </c>
      <c r="G186" s="4"/>
      <c r="H186" s="13" t="s">
        <v>54</v>
      </c>
      <c r="I186" s="3">
        <v>90</v>
      </c>
      <c r="J186" s="4"/>
      <c r="K186" s="4"/>
      <c r="L186" s="4"/>
      <c r="M186" s="4"/>
      <c r="N186" s="4">
        <v>7</v>
      </c>
      <c r="O186" s="4"/>
      <c r="P186" s="4"/>
    </row>
    <row r="187" spans="1:16" x14ac:dyDescent="0.3">
      <c r="A187" s="12" t="str">
        <f>IFERROR(IF(D187="","",C187&amp;"_"&amp;
IF($D187=외피index!$B$3, 외피index!$C$3&amp;"_"&amp;COUNTIFS(D$2:$D187,외피index!$B$3,C$2:$C187,C187),
IF($D187=외피index!$B$4, 외피index!$C$4&amp;"_"&amp;COUNTIFS(D$2:$D187,외피index!$B$4,C$2:$C187,C187),
IF($D187=외피index!$B$5, 외피index!$C$5&amp;"_"&amp;COUNTIFS(D$2:$D187,외피index!$B$5,C$2:$C187,C187),
IF($D187=외피index!$B$6, 외피index!$C$6&amp;"_"&amp;COUNTIFS(D$2:$D187,외피index!$B$6,C$2:$C187,C187),
IF($D187=외피index!$B$7, 외피index!$C$7&amp;"_"&amp;COUNTIFS(D$2:$D187,외피index!$B$7,C$2:$C187,C187),
IF($D187=외피index!$B$8, 외피index!$C$8&amp;"_"&amp;COUNTIFS(D$2:$D187,외피index!$B$8,C$2:$C187,C187),
IF($D187=외피index!$B$9, 외피index!$C$9&amp;"_"&amp;COUNTIFS(D$2:$D187,외피index!$B$9,C$2:$C187,C187),
IF($D187=외피index!$B$10, 외피index!$C$10&amp;"_"&amp;COUNTIFS(D$2:$D187,외피index!$B$10,C$2:$C187,C187), 0))))))))),"")</f>
        <v>3F_Zone016_WL_2</v>
      </c>
      <c r="B187" s="13" t="s">
        <v>35</v>
      </c>
      <c r="C187" s="13" t="s">
        <v>26</v>
      </c>
      <c r="D187" s="13" t="s">
        <v>47</v>
      </c>
      <c r="E187" s="4"/>
      <c r="F187" s="3">
        <v>17.3100146198266</v>
      </c>
      <c r="G187" s="4"/>
      <c r="H187" s="13" t="s">
        <v>54</v>
      </c>
      <c r="I187" s="3">
        <v>90</v>
      </c>
      <c r="J187" s="4"/>
      <c r="K187" s="4"/>
      <c r="L187" s="4"/>
      <c r="M187" s="4"/>
      <c r="N187" s="4">
        <v>6</v>
      </c>
      <c r="O187" s="4"/>
      <c r="P187" s="4"/>
    </row>
    <row r="188" spans="1:16" x14ac:dyDescent="0.3">
      <c r="A188" s="12" t="str">
        <f>IFERROR(IF(D188="","",C188&amp;"_"&amp;
IF($D188=외피index!$B$3, 외피index!$C$3&amp;"_"&amp;COUNTIFS(D$2:$D188,외피index!$B$3,C$2:$C188,C188),
IF($D188=외피index!$B$4, 외피index!$C$4&amp;"_"&amp;COUNTIFS(D$2:$D188,외피index!$B$4,C$2:$C188,C188),
IF($D188=외피index!$B$5, 외피index!$C$5&amp;"_"&amp;COUNTIFS(D$2:$D188,외피index!$B$5,C$2:$C188,C188),
IF($D188=외피index!$B$6, 외피index!$C$6&amp;"_"&amp;COUNTIFS(D$2:$D188,외피index!$B$6,C$2:$C188,C188),
IF($D188=외피index!$B$7, 외피index!$C$7&amp;"_"&amp;COUNTIFS(D$2:$D188,외피index!$B$7,C$2:$C188,C188),
IF($D188=외피index!$B$8, 외피index!$C$8&amp;"_"&amp;COUNTIFS(D$2:$D188,외피index!$B$8,C$2:$C188,C188),
IF($D188=외피index!$B$9, 외피index!$C$9&amp;"_"&amp;COUNTIFS(D$2:$D188,외피index!$B$9,C$2:$C188,C188),
IF($D188=외피index!$B$10, 외피index!$C$10&amp;"_"&amp;COUNTIFS(D$2:$D188,외피index!$B$10,C$2:$C188,C188), 0))))))))),"")</f>
        <v>1F_Zone003_IW_3</v>
      </c>
      <c r="B188" s="13" t="s">
        <v>37</v>
      </c>
      <c r="C188" s="13" t="s">
        <v>39</v>
      </c>
      <c r="D188" s="13" t="s">
        <v>45</v>
      </c>
      <c r="E188" s="4"/>
      <c r="F188" s="3">
        <v>18.480054111481799</v>
      </c>
      <c r="G188" s="4" t="s">
        <v>40</v>
      </c>
      <c r="H188" s="13" t="s">
        <v>54</v>
      </c>
      <c r="I188" s="3">
        <v>90</v>
      </c>
      <c r="J188" s="4"/>
      <c r="K188" s="4"/>
      <c r="L188" s="4"/>
      <c r="M188" s="4"/>
      <c r="N188" s="4">
        <v>4.20001220703125</v>
      </c>
      <c r="O188" s="4"/>
      <c r="P188" s="4"/>
    </row>
    <row r="189" spans="1:16" x14ac:dyDescent="0.3">
      <c r="A189" s="12" t="str">
        <f>IFERROR(IF(D189="","",C189&amp;"_"&amp;
IF($D189=외피index!$B$3, 외피index!$C$3&amp;"_"&amp;COUNTIFS(D$2:$D189,외피index!$B$3,C$2:$C189,C189),
IF($D189=외피index!$B$4, 외피index!$C$4&amp;"_"&amp;COUNTIFS(D$2:$D189,외피index!$B$4,C$2:$C189,C189),
IF($D189=외피index!$B$5, 외피index!$C$5&amp;"_"&amp;COUNTIFS(D$2:$D189,외피index!$B$5,C$2:$C189,C189),
IF($D189=외피index!$B$6, 외피index!$C$6&amp;"_"&amp;COUNTIFS(D$2:$D189,외피index!$B$6,C$2:$C189,C189),
IF($D189=외피index!$B$7, 외피index!$C$7&amp;"_"&amp;COUNTIFS(D$2:$D189,외피index!$B$7,C$2:$C189,C189),
IF($D189=외피index!$B$8, 외피index!$C$8&amp;"_"&amp;COUNTIFS(D$2:$D189,외피index!$B$8,C$2:$C189,C189),
IF($D189=외피index!$B$9, 외피index!$C$9&amp;"_"&amp;COUNTIFS(D$2:$D189,외피index!$B$9,C$2:$C189,C189),
IF($D189=외피index!$B$10, 외피index!$C$10&amp;"_"&amp;COUNTIFS(D$2:$D189,외피index!$B$10,C$2:$C189,C189), 0))))))))),"")</f>
        <v>3F_Zone018_WL_1</v>
      </c>
      <c r="B189" s="13" t="s">
        <v>35</v>
      </c>
      <c r="C189" s="13" t="s">
        <v>34</v>
      </c>
      <c r="D189" s="13" t="s">
        <v>47</v>
      </c>
      <c r="E189" s="4"/>
      <c r="F189" s="3">
        <v>8.1500292780765395</v>
      </c>
      <c r="G189" s="4"/>
      <c r="H189" s="13" t="s">
        <v>54</v>
      </c>
      <c r="I189" s="3">
        <v>90</v>
      </c>
      <c r="J189" s="4"/>
      <c r="K189" s="4"/>
      <c r="L189" s="4"/>
      <c r="M189" s="4"/>
      <c r="N189" s="4">
        <v>2.8000030517578098</v>
      </c>
      <c r="O189" s="4"/>
      <c r="P189" s="4"/>
    </row>
    <row r="190" spans="1:16" x14ac:dyDescent="0.3">
      <c r="A190" s="12" t="str">
        <f>IFERROR(IF(D190="","",C190&amp;"_"&amp;
IF($D190=외피index!$B$3, 외피index!$C$3&amp;"_"&amp;COUNTIFS(D$2:$D190,외피index!$B$3,C$2:$C190,C190),
IF($D190=외피index!$B$4, 외피index!$C$4&amp;"_"&amp;COUNTIFS(D$2:$D190,외피index!$B$4,C$2:$C190,C190),
IF($D190=외피index!$B$5, 외피index!$C$5&amp;"_"&amp;COUNTIFS(D$2:$D190,외피index!$B$5,C$2:$C190,C190),
IF($D190=외피index!$B$6, 외피index!$C$6&amp;"_"&amp;COUNTIFS(D$2:$D190,외피index!$B$6,C$2:$C190,C190),
IF($D190=외피index!$B$7, 외피index!$C$7&amp;"_"&amp;COUNTIFS(D$2:$D190,외피index!$B$7,C$2:$C190,C190),
IF($D190=외피index!$B$8, 외피index!$C$8&amp;"_"&amp;COUNTIFS(D$2:$D190,외피index!$B$8,C$2:$C190,C190),
IF($D190=외피index!$B$9, 외피index!$C$9&amp;"_"&amp;COUNTIFS(D$2:$D190,외피index!$B$9,C$2:$C190,C190),
IF($D190=외피index!$B$10, 외피index!$C$10&amp;"_"&amp;COUNTIFS(D$2:$D190,외피index!$B$10,C$2:$C190,C190), 0))))))))),"")</f>
        <v>3F_Zone019_WL_1</v>
      </c>
      <c r="B190" s="13" t="s">
        <v>35</v>
      </c>
      <c r="C190" s="13" t="s">
        <v>31</v>
      </c>
      <c r="D190" s="13" t="s">
        <v>47</v>
      </c>
      <c r="E190" s="4"/>
      <c r="F190" s="3">
        <v>6.9249441548527102</v>
      </c>
      <c r="G190" s="4"/>
      <c r="H190" s="13" t="s">
        <v>54</v>
      </c>
      <c r="I190" s="3">
        <v>90</v>
      </c>
      <c r="J190" s="4"/>
      <c r="K190" s="4"/>
      <c r="L190" s="4"/>
      <c r="M190" s="4"/>
      <c r="N190" s="4">
        <v>2.7350006103515598</v>
      </c>
      <c r="O190" s="4"/>
      <c r="P190" s="4"/>
    </row>
    <row r="191" spans="1:16" x14ac:dyDescent="0.3">
      <c r="A191" s="12" t="str">
        <f>IFERROR(IF(D191="","",C191&amp;"_"&amp;
IF($D191=외피index!$B$3, 외피index!$C$3&amp;"_"&amp;COUNTIFS(D$2:$D191,외피index!$B$3,C$2:$C191,C191),
IF($D191=외피index!$B$4, 외피index!$C$4&amp;"_"&amp;COUNTIFS(D$2:$D191,외피index!$B$4,C$2:$C191,C191),
IF($D191=외피index!$B$5, 외피index!$C$5&amp;"_"&amp;COUNTIFS(D$2:$D191,외피index!$B$5,C$2:$C191,C191),
IF($D191=외피index!$B$6, 외피index!$C$6&amp;"_"&amp;COUNTIFS(D$2:$D191,외피index!$B$6,C$2:$C191,C191),
IF($D191=외피index!$B$7, 외피index!$C$7&amp;"_"&amp;COUNTIFS(D$2:$D191,외피index!$B$7,C$2:$C191,C191),
IF($D191=외피index!$B$8, 외피index!$C$8&amp;"_"&amp;COUNTIFS(D$2:$D191,외피index!$B$8,C$2:$C191,C191),
IF($D191=외피index!$B$9, 외피index!$C$9&amp;"_"&amp;COUNTIFS(D$2:$D191,외피index!$B$9,C$2:$C191,C191),
IF($D191=외피index!$B$10, 외피index!$C$10&amp;"_"&amp;COUNTIFS(D$2:$D191,외피index!$B$10,C$2:$C191,C191), 0))))))))),"")</f>
        <v>3F_Zone020_WL_2</v>
      </c>
      <c r="B191" s="13" t="s">
        <v>35</v>
      </c>
      <c r="C191" s="13" t="s">
        <v>33</v>
      </c>
      <c r="D191" s="13" t="s">
        <v>47</v>
      </c>
      <c r="E191" s="4"/>
      <c r="F191" s="3">
        <v>8.2080085463530796</v>
      </c>
      <c r="G191" s="4"/>
      <c r="H191" s="13" t="s">
        <v>54</v>
      </c>
      <c r="I191" s="3">
        <v>90</v>
      </c>
      <c r="J191" s="4"/>
      <c r="K191" s="4"/>
      <c r="L191" s="4"/>
      <c r="M191" s="4"/>
      <c r="N191" s="4">
        <v>2.56500244140625</v>
      </c>
      <c r="O191" s="4"/>
      <c r="P191" s="4"/>
    </row>
    <row r="192" spans="1:16" x14ac:dyDescent="0.3">
      <c r="A192" s="12" t="str">
        <f>IFERROR(IF(D192="","",C192&amp;"_"&amp;
IF($D192=외피index!$B$3, 외피index!$C$3&amp;"_"&amp;COUNTIFS(D$2:$D192,외피index!$B$3,C$2:$C192,C192),
IF($D192=외피index!$B$4, 외피index!$C$4&amp;"_"&amp;COUNTIFS(D$2:$D192,외피index!$B$4,C$2:$C192,C192),
IF($D192=외피index!$B$5, 외피index!$C$5&amp;"_"&amp;COUNTIFS(D$2:$D192,외피index!$B$5,C$2:$C192,C192),
IF($D192=외피index!$B$6, 외피index!$C$6&amp;"_"&amp;COUNTIFS(D$2:$D192,외피index!$B$6,C$2:$C192,C192),
IF($D192=외피index!$B$7, 외피index!$C$7&amp;"_"&amp;COUNTIFS(D$2:$D192,외피index!$B$7,C$2:$C192,C192),
IF($D192=외피index!$B$8, 외피index!$C$8&amp;"_"&amp;COUNTIFS(D$2:$D192,외피index!$B$8,C$2:$C192,C192),
IF($D192=외피index!$B$9, 외피index!$C$9&amp;"_"&amp;COUNTIFS(D$2:$D192,외피index!$B$9,C$2:$C192,C192),
IF($D192=외피index!$B$10, 외피index!$C$10&amp;"_"&amp;COUNTIFS(D$2:$D192,외피index!$B$10,C$2:$C192,C192), 0))))))))),"")</f>
        <v>2F_Zone013_IW_4</v>
      </c>
      <c r="B192" s="13" t="s">
        <v>16</v>
      </c>
      <c r="C192" s="13" t="s">
        <v>32</v>
      </c>
      <c r="D192" s="13" t="s">
        <v>45</v>
      </c>
      <c r="E192" s="4"/>
      <c r="F192" s="3">
        <v>6.3999996185302699</v>
      </c>
      <c r="G192" s="4" t="s">
        <v>28</v>
      </c>
      <c r="H192" s="13" t="s">
        <v>54</v>
      </c>
      <c r="I192" s="3">
        <v>90</v>
      </c>
      <c r="J192" s="4"/>
      <c r="K192" s="4"/>
      <c r="L192" s="4"/>
      <c r="M192" s="4"/>
      <c r="N192" s="4">
        <v>2</v>
      </c>
      <c r="O192" s="4"/>
      <c r="P192" s="4"/>
    </row>
    <row r="193" spans="1:16" x14ac:dyDescent="0.3">
      <c r="A193" s="12" t="str">
        <f>IFERROR(IF(D193="","",C193&amp;"_"&amp;
IF($D193=외피index!$B$3, 외피index!$C$3&amp;"_"&amp;COUNTIFS(D$2:$D193,외피index!$B$3,C$2:$C193,C193),
IF($D193=외피index!$B$4, 외피index!$C$4&amp;"_"&amp;COUNTIFS(D$2:$D193,외피index!$B$4,C$2:$C193,C193),
IF($D193=외피index!$B$5, 외피index!$C$5&amp;"_"&amp;COUNTIFS(D$2:$D193,외피index!$B$5,C$2:$C193,C193),
IF($D193=외피index!$B$6, 외피index!$C$6&amp;"_"&amp;COUNTIFS(D$2:$D193,외피index!$B$6,C$2:$C193,C193),
IF($D193=외피index!$B$7, 외피index!$C$7&amp;"_"&amp;COUNTIFS(D$2:$D193,외피index!$B$7,C$2:$C193,C193),
IF($D193=외피index!$B$8, 외피index!$C$8&amp;"_"&amp;COUNTIFS(D$2:$D193,외피index!$B$8,C$2:$C193,C193),
IF($D193=외피index!$B$9, 외피index!$C$9&amp;"_"&amp;COUNTIFS(D$2:$D193,외피index!$B$9,C$2:$C193,C193),
IF($D193=외피index!$B$10, 외피index!$C$10&amp;"_"&amp;COUNTIFS(D$2:$D193,외피index!$B$10,C$2:$C193,C193), 0))))))))),"")</f>
        <v>3F_Zone019_IW_5</v>
      </c>
      <c r="B193" s="13" t="s">
        <v>35</v>
      </c>
      <c r="C193" s="13" t="s">
        <v>31</v>
      </c>
      <c r="D193" s="13" t="s">
        <v>45</v>
      </c>
      <c r="E193" s="4"/>
      <c r="F193" s="3">
        <v>5.7600102806100004</v>
      </c>
      <c r="G193" s="4" t="s">
        <v>34</v>
      </c>
      <c r="H193" s="13" t="s">
        <v>54</v>
      </c>
      <c r="I193" s="3">
        <v>90</v>
      </c>
      <c r="J193" s="4"/>
      <c r="K193" s="4"/>
      <c r="L193" s="4"/>
      <c r="M193" s="4"/>
      <c r="N193" s="4">
        <v>1.8000030517578101</v>
      </c>
      <c r="O193" s="4"/>
      <c r="P193" s="4"/>
    </row>
    <row r="194" spans="1:16" x14ac:dyDescent="0.3">
      <c r="A194" s="12" t="str">
        <f>IFERROR(IF(D194="","",C194&amp;"_"&amp;
IF($D194=외피index!$B$3, 외피index!$C$3&amp;"_"&amp;COUNTIFS(D$2:$D194,외피index!$B$3,C$2:$C194,C194),
IF($D194=외피index!$B$4, 외피index!$C$4&amp;"_"&amp;COUNTIFS(D$2:$D194,외피index!$B$4,C$2:$C194,C194),
IF($D194=외피index!$B$5, 외피index!$C$5&amp;"_"&amp;COUNTIFS(D$2:$D194,외피index!$B$5,C$2:$C194,C194),
IF($D194=외피index!$B$6, 외피index!$C$6&amp;"_"&amp;COUNTIFS(D$2:$D194,외피index!$B$6,C$2:$C194,C194),
IF($D194=외피index!$B$7, 외피index!$C$7&amp;"_"&amp;COUNTIFS(D$2:$D194,외피index!$B$7,C$2:$C194,C194),
IF($D194=외피index!$B$8, 외피index!$C$8&amp;"_"&amp;COUNTIFS(D$2:$D194,외피index!$B$8,C$2:$C194,C194),
IF($D194=외피index!$B$9, 외피index!$C$9&amp;"_"&amp;COUNTIFS(D$2:$D194,외피index!$B$9,C$2:$C194,C194),
IF($D194=외피index!$B$10, 외피index!$C$10&amp;"_"&amp;COUNTIFS(D$2:$D194,외피index!$B$10,C$2:$C194,C194), 0))))))))),"")</f>
        <v>3F_Zone016_IW_7</v>
      </c>
      <c r="B194" s="13" t="s">
        <v>35</v>
      </c>
      <c r="C194" s="13" t="s">
        <v>26</v>
      </c>
      <c r="D194" s="13" t="s">
        <v>45</v>
      </c>
      <c r="E194" s="4"/>
      <c r="F194" s="3">
        <v>3.20000028610229</v>
      </c>
      <c r="G194" s="4" t="s">
        <v>34</v>
      </c>
      <c r="H194" s="13" t="s">
        <v>54</v>
      </c>
      <c r="I194" s="3">
        <v>90</v>
      </c>
      <c r="J194" s="4"/>
      <c r="K194" s="4"/>
      <c r="L194" s="4"/>
      <c r="M194" s="4"/>
      <c r="N194" s="4">
        <v>1</v>
      </c>
      <c r="O194" s="4"/>
      <c r="P194" s="4"/>
    </row>
    <row r="195" spans="1:16" x14ac:dyDescent="0.3">
      <c r="A195" s="12" t="str">
        <f>IFERROR(IF(D195="","",C195&amp;"_"&amp;
IF($D195=외피index!$B$3, 외피index!$C$3&amp;"_"&amp;COUNTIFS(D$2:$D195,외피index!$B$3,C$2:$C195,C195),
IF($D195=외피index!$B$4, 외피index!$C$4&amp;"_"&amp;COUNTIFS(D$2:$D195,외피index!$B$4,C$2:$C195,C195),
IF($D195=외피index!$B$5, 외피index!$C$5&amp;"_"&amp;COUNTIFS(D$2:$D195,외피index!$B$5,C$2:$C195,C195),
IF($D195=외피index!$B$6, 외피index!$C$6&amp;"_"&amp;COUNTIFS(D$2:$D195,외피index!$B$6,C$2:$C195,C195),
IF($D195=외피index!$B$7, 외피index!$C$7&amp;"_"&amp;COUNTIFS(D$2:$D195,외피index!$B$7,C$2:$C195,C195),
IF($D195=외피index!$B$8, 외피index!$C$8&amp;"_"&amp;COUNTIFS(D$2:$D195,외피index!$B$8,C$2:$C195,C195),
IF($D195=외피index!$B$9, 외피index!$C$9&amp;"_"&amp;COUNTIFS(D$2:$D195,외피index!$B$9,C$2:$C195,C195),
IF($D195=외피index!$B$10, 외피index!$C$10&amp;"_"&amp;COUNTIFS(D$2:$D195,외피index!$B$10,C$2:$C195,C195), 0))))))))),"")</f>
        <v>3F_Zone017_IW_3</v>
      </c>
      <c r="B195" s="13" t="s">
        <v>35</v>
      </c>
      <c r="C195" s="13" t="s">
        <v>29</v>
      </c>
      <c r="D195" s="13" t="s">
        <v>45</v>
      </c>
      <c r="E195" s="4"/>
      <c r="F195" s="3">
        <v>8.9599617385829298</v>
      </c>
      <c r="G195" s="4" t="s">
        <v>26</v>
      </c>
      <c r="H195" s="13" t="s">
        <v>54</v>
      </c>
      <c r="I195" s="3">
        <v>90</v>
      </c>
      <c r="J195" s="4"/>
      <c r="K195" s="4"/>
      <c r="L195" s="4"/>
      <c r="M195" s="4"/>
      <c r="N195" s="4">
        <v>2.79998779296875</v>
      </c>
      <c r="O195" s="4"/>
      <c r="P195" s="4"/>
    </row>
    <row r="196" spans="1:16" x14ac:dyDescent="0.3">
      <c r="A196" s="12" t="str">
        <f>IFERROR(IF(D196="","",C196&amp;"_"&amp;
IF($D196=외피index!$B$3, 외피index!$C$3&amp;"_"&amp;COUNTIFS(D$2:$D196,외피index!$B$3,C$2:$C196,C196),
IF($D196=외피index!$B$4, 외피index!$C$4&amp;"_"&amp;COUNTIFS(D$2:$D196,외피index!$B$4,C$2:$C196,C196),
IF($D196=외피index!$B$5, 외피index!$C$5&amp;"_"&amp;COUNTIFS(D$2:$D196,외피index!$B$5,C$2:$C196,C196),
IF($D196=외피index!$B$6, 외피index!$C$6&amp;"_"&amp;COUNTIFS(D$2:$D196,외피index!$B$6,C$2:$C196,C196),
IF($D196=외피index!$B$7, 외피index!$C$7&amp;"_"&amp;COUNTIFS(D$2:$D196,외피index!$B$7,C$2:$C196,C196),
IF($D196=외피index!$B$8, 외피index!$C$8&amp;"_"&amp;COUNTIFS(D$2:$D196,외피index!$B$8,C$2:$C196,C196),
IF($D196=외피index!$B$9, 외피index!$C$9&amp;"_"&amp;COUNTIFS(D$2:$D196,외피index!$B$9,C$2:$C196,C196),
IF($D196=외피index!$B$10, 외피index!$C$10&amp;"_"&amp;COUNTIFS(D$2:$D196,외피index!$B$10,C$2:$C196,C196), 0))))))))),"")</f>
        <v>1F_Zone005_IW_1</v>
      </c>
      <c r="B196" s="13" t="s">
        <v>37</v>
      </c>
      <c r="C196" s="13" t="s">
        <v>42</v>
      </c>
      <c r="D196" s="13" t="s">
        <v>45</v>
      </c>
      <c r="E196" s="4"/>
      <c r="F196" s="3">
        <v>15.5399889087675</v>
      </c>
      <c r="G196" s="4" t="s">
        <v>38</v>
      </c>
      <c r="H196" s="13" t="s">
        <v>54</v>
      </c>
      <c r="I196" s="3">
        <v>90</v>
      </c>
      <c r="J196" s="4"/>
      <c r="K196" s="4"/>
      <c r="L196" s="4"/>
      <c r="M196" s="4"/>
      <c r="N196" s="4">
        <v>4.1999969482421804</v>
      </c>
      <c r="O196" s="4"/>
      <c r="P196" s="4"/>
    </row>
    <row r="197" spans="1:16" x14ac:dyDescent="0.3">
      <c r="A197" s="12" t="str">
        <f>IFERROR(IF(D197="","",C197&amp;"_"&amp;
IF($D197=외피index!$B$3, 외피index!$C$3&amp;"_"&amp;COUNTIFS(D$2:$D197,외피index!$B$3,C$2:$C197,C197),
IF($D197=외피index!$B$4, 외피index!$C$4&amp;"_"&amp;COUNTIFS(D$2:$D197,외피index!$B$4,C$2:$C197,C197),
IF($D197=외피index!$B$5, 외피index!$C$5&amp;"_"&amp;COUNTIFS(D$2:$D197,외피index!$B$5,C$2:$C197,C197),
IF($D197=외피index!$B$6, 외피index!$C$6&amp;"_"&amp;COUNTIFS(D$2:$D197,외피index!$B$6,C$2:$C197,C197),
IF($D197=외피index!$B$7, 외피index!$C$7&amp;"_"&amp;COUNTIFS(D$2:$D197,외피index!$B$7,C$2:$C197,C197),
IF($D197=외피index!$B$8, 외피index!$C$8&amp;"_"&amp;COUNTIFS(D$2:$D197,외피index!$B$8,C$2:$C197,C197),
IF($D197=외피index!$B$9, 외피index!$C$9&amp;"_"&amp;COUNTIFS(D$2:$D197,외피index!$B$9,C$2:$C197,C197),
IF($D197=외피index!$B$10, 외피index!$C$10&amp;"_"&amp;COUNTIFS(D$2:$D197,외피index!$B$10,C$2:$C197,C197), 0))))))))),"")</f>
        <v>2F_Zone008_IW_7</v>
      </c>
      <c r="B197" s="13" t="s">
        <v>16</v>
      </c>
      <c r="C197" s="13" t="s">
        <v>25</v>
      </c>
      <c r="D197" s="13" t="s">
        <v>45</v>
      </c>
      <c r="E197" s="4"/>
      <c r="F197" s="3">
        <v>9.2800287437421503</v>
      </c>
      <c r="G197" s="4" t="s">
        <v>30</v>
      </c>
      <c r="H197" s="13" t="s">
        <v>54</v>
      </c>
      <c r="I197" s="3">
        <v>90</v>
      </c>
      <c r="J197" s="4"/>
      <c r="K197" s="4"/>
      <c r="L197" s="4"/>
      <c r="M197" s="4"/>
      <c r="N197" s="4">
        <v>2.90000915527343</v>
      </c>
      <c r="O197" s="4"/>
      <c r="P197" s="4"/>
    </row>
    <row r="198" spans="1:16" x14ac:dyDescent="0.3">
      <c r="A198" s="12" t="str">
        <f>IFERROR(IF(D198="","",C198&amp;"_"&amp;
IF($D198=외피index!$B$3, 외피index!$C$3&amp;"_"&amp;COUNTIFS(D$2:$D198,외피index!$B$3,C$2:$C198,C198),
IF($D198=외피index!$B$4, 외피index!$C$4&amp;"_"&amp;COUNTIFS(D$2:$D198,외피index!$B$4,C$2:$C198,C198),
IF($D198=외피index!$B$5, 외피index!$C$5&amp;"_"&amp;COUNTIFS(D$2:$D198,외피index!$B$5,C$2:$C198,C198),
IF($D198=외피index!$B$6, 외피index!$C$6&amp;"_"&amp;COUNTIFS(D$2:$D198,외피index!$B$6,C$2:$C198,C198),
IF($D198=외피index!$B$7, 외피index!$C$7&amp;"_"&amp;COUNTIFS(D$2:$D198,외피index!$B$7,C$2:$C198,C198),
IF($D198=외피index!$B$8, 외피index!$C$8&amp;"_"&amp;COUNTIFS(D$2:$D198,외피index!$B$8,C$2:$C198,C198),
IF($D198=외피index!$B$9, 외피index!$C$9&amp;"_"&amp;COUNTIFS(D$2:$D198,외피index!$B$9,C$2:$C198,C198),
IF($D198=외피index!$B$10, 외피index!$C$10&amp;"_"&amp;COUNTIFS(D$2:$D198,외피index!$B$10,C$2:$C198,C198), 0))))))))),"")</f>
        <v>2F_Zone008_IW_8</v>
      </c>
      <c r="B198" s="13" t="s">
        <v>16</v>
      </c>
      <c r="C198" s="13" t="s">
        <v>25</v>
      </c>
      <c r="D198" s="13" t="s">
        <v>45</v>
      </c>
      <c r="E198" s="4"/>
      <c r="F198" s="3">
        <v>7.0399898147588802</v>
      </c>
      <c r="G198" s="4" t="s">
        <v>28</v>
      </c>
      <c r="H198" s="13" t="s">
        <v>54</v>
      </c>
      <c r="I198" s="3">
        <v>90</v>
      </c>
      <c r="J198" s="4"/>
      <c r="K198" s="4"/>
      <c r="L198" s="4"/>
      <c r="M198" s="4"/>
      <c r="N198" s="4">
        <v>2.19999694824218</v>
      </c>
      <c r="O198" s="4"/>
      <c r="P198" s="4"/>
    </row>
    <row r="199" spans="1:16" x14ac:dyDescent="0.3">
      <c r="A199" s="12" t="str">
        <f>IFERROR(IF(D199="","",C199&amp;"_"&amp;
IF($D199=외피index!$B$3, 외피index!$C$3&amp;"_"&amp;COUNTIFS(D$2:$D199,외피index!$B$3,C$2:$C199,C199),
IF($D199=외피index!$B$4, 외피index!$C$4&amp;"_"&amp;COUNTIFS(D$2:$D199,외피index!$B$4,C$2:$C199,C199),
IF($D199=외피index!$B$5, 외피index!$C$5&amp;"_"&amp;COUNTIFS(D$2:$D199,외피index!$B$5,C$2:$C199,C199),
IF($D199=외피index!$B$6, 외피index!$C$6&amp;"_"&amp;COUNTIFS(D$2:$D199,외피index!$B$6,C$2:$C199,C199),
IF($D199=외피index!$B$7, 외피index!$C$7&amp;"_"&amp;COUNTIFS(D$2:$D199,외피index!$B$7,C$2:$C199,C199),
IF($D199=외피index!$B$8, 외피index!$C$8&amp;"_"&amp;COUNTIFS(D$2:$D199,외피index!$B$8,C$2:$C199,C199),
IF($D199=외피index!$B$9, 외피index!$C$9&amp;"_"&amp;COUNTIFS(D$2:$D199,외피index!$B$9,C$2:$C199,C199),
IF($D199=외피index!$B$10, 외피index!$C$10&amp;"_"&amp;COUNTIFS(D$2:$D199,외피index!$B$10,C$2:$C199,C199), 0))))))))),"")</f>
        <v>2F_Zone011_WL_2</v>
      </c>
      <c r="B199" s="13" t="s">
        <v>16</v>
      </c>
      <c r="C199" s="13" t="s">
        <v>23</v>
      </c>
      <c r="D199" s="13" t="s">
        <v>47</v>
      </c>
      <c r="E199" s="4"/>
      <c r="F199" s="3">
        <v>21.3999986648559</v>
      </c>
      <c r="G199" s="4"/>
      <c r="H199" s="13" t="s">
        <v>54</v>
      </c>
      <c r="I199" s="3">
        <v>90</v>
      </c>
      <c r="J199" s="4"/>
      <c r="K199" s="4"/>
      <c r="L199" s="4"/>
      <c r="M199" s="4"/>
      <c r="N199" s="4">
        <v>7</v>
      </c>
      <c r="O199" s="4"/>
      <c r="P199" s="4"/>
    </row>
    <row r="200" spans="1:16" x14ac:dyDescent="0.3">
      <c r="A200" s="12" t="str">
        <f>IFERROR(IF(D200="","",C200&amp;"_"&amp;
IF($D200=외피index!$B$3, 외피index!$C$3&amp;"_"&amp;COUNTIFS(D$2:$D200,외피index!$B$3,C$2:$C200,C200),
IF($D200=외피index!$B$4, 외피index!$C$4&amp;"_"&amp;COUNTIFS(D$2:$D200,외피index!$B$4,C$2:$C200,C200),
IF($D200=외피index!$B$5, 외피index!$C$5&amp;"_"&amp;COUNTIFS(D$2:$D200,외피index!$B$5,C$2:$C200,C200),
IF($D200=외피index!$B$6, 외피index!$C$6&amp;"_"&amp;COUNTIFS(D$2:$D200,외피index!$B$6,C$2:$C200,C200),
IF($D200=외피index!$B$7, 외피index!$C$7&amp;"_"&amp;COUNTIFS(D$2:$D200,외피index!$B$7,C$2:$C200,C200),
IF($D200=외피index!$B$8, 외피index!$C$8&amp;"_"&amp;COUNTIFS(D$2:$D200,외피index!$B$8,C$2:$C200,C200),
IF($D200=외피index!$B$9, 외피index!$C$9&amp;"_"&amp;COUNTIFS(D$2:$D200,외피index!$B$9,C$2:$C200,C200),
IF($D200=외피index!$B$10, 외피index!$C$10&amp;"_"&amp;COUNTIFS(D$2:$D200,외피index!$B$10,C$2:$C200,C200), 0))))))))),"")</f>
        <v>1F_Zone004_WL_2</v>
      </c>
      <c r="B200" s="13" t="s">
        <v>37</v>
      </c>
      <c r="C200" s="13" t="s">
        <v>40</v>
      </c>
      <c r="D200" s="13" t="s">
        <v>47</v>
      </c>
      <c r="E200" s="4"/>
      <c r="F200" s="3">
        <v>17.480054111481799</v>
      </c>
      <c r="G200" s="4"/>
      <c r="H200" s="13" t="s">
        <v>54</v>
      </c>
      <c r="I200" s="3">
        <v>90</v>
      </c>
      <c r="J200" s="4"/>
      <c r="K200" s="4"/>
      <c r="L200" s="4"/>
      <c r="M200" s="4"/>
      <c r="N200" s="4">
        <v>4.20001220703125</v>
      </c>
      <c r="O200" s="4"/>
      <c r="P200" s="4"/>
    </row>
    <row r="201" spans="1:16" x14ac:dyDescent="0.3">
      <c r="A201" s="12" t="str">
        <f>IFERROR(IF(D201="","",C201&amp;"_"&amp;
IF($D201=외피index!$B$3, 외피index!$C$3&amp;"_"&amp;COUNTIFS(D$2:$D201,외피index!$B$3,C$2:$C201,C201),
IF($D201=외피index!$B$4, 외피index!$C$4&amp;"_"&amp;COUNTIFS(D$2:$D201,외피index!$B$4,C$2:$C201,C201),
IF($D201=외피index!$B$5, 외피index!$C$5&amp;"_"&amp;COUNTIFS(D$2:$D201,외피index!$B$5,C$2:$C201,C201),
IF($D201=외피index!$B$6, 외피index!$C$6&amp;"_"&amp;COUNTIFS(D$2:$D201,외피index!$B$6,C$2:$C201,C201),
IF($D201=외피index!$B$7, 외피index!$C$7&amp;"_"&amp;COUNTIFS(D$2:$D201,외피index!$B$7,C$2:$C201,C201),
IF($D201=외피index!$B$8, 외피index!$C$8&amp;"_"&amp;COUNTIFS(D$2:$D201,외피index!$B$8,C$2:$C201,C201),
IF($D201=외피index!$B$9, 외피index!$C$9&amp;"_"&amp;COUNTIFS(D$2:$D201,외피index!$B$9,C$2:$C201,C201),
IF($D201=외피index!$B$10, 외피index!$C$10&amp;"_"&amp;COUNTIFS(D$2:$D201,외피index!$B$10,C$2:$C201,C201), 0))))))))),"")</f>
        <v>2F_Zone010_WL_2</v>
      </c>
      <c r="B201" s="13" t="s">
        <v>16</v>
      </c>
      <c r="C201" s="13" t="s">
        <v>28</v>
      </c>
      <c r="D201" s="13" t="s">
        <v>47</v>
      </c>
      <c r="E201" s="4"/>
      <c r="F201" s="3">
        <v>9.5399888610845593</v>
      </c>
      <c r="G201" s="4"/>
      <c r="H201" s="13" t="s">
        <v>54</v>
      </c>
      <c r="I201" s="3">
        <v>90</v>
      </c>
      <c r="J201" s="4"/>
      <c r="K201" s="4"/>
      <c r="L201" s="4"/>
      <c r="M201" s="4"/>
      <c r="N201" s="4">
        <v>4.1999969482421804</v>
      </c>
      <c r="O201" s="4"/>
      <c r="P201" s="4"/>
    </row>
    <row r="202" spans="1:16" x14ac:dyDescent="0.3">
      <c r="A202" s="12" t="str">
        <f>IFERROR(IF(D202="","",C202&amp;"_"&amp;
IF($D202=외피index!$B$3, 외피index!$C$3&amp;"_"&amp;COUNTIFS(D$2:$D202,외피index!$B$3,C$2:$C202,C202),
IF($D202=외피index!$B$4, 외피index!$C$4&amp;"_"&amp;COUNTIFS(D$2:$D202,외피index!$B$4,C$2:$C202,C202),
IF($D202=외피index!$B$5, 외피index!$C$5&amp;"_"&amp;COUNTIFS(D$2:$D202,외피index!$B$5,C$2:$C202,C202),
IF($D202=외피index!$B$6, 외피index!$C$6&amp;"_"&amp;COUNTIFS(D$2:$D202,외피index!$B$6,C$2:$C202,C202),
IF($D202=외피index!$B$7, 외피index!$C$7&amp;"_"&amp;COUNTIFS(D$2:$D202,외피index!$B$7,C$2:$C202,C202),
IF($D202=외피index!$B$8, 외피index!$C$8&amp;"_"&amp;COUNTIFS(D$2:$D202,외피index!$B$8,C$2:$C202,C202),
IF($D202=외피index!$B$9, 외피index!$C$9&amp;"_"&amp;COUNTIFS(D$2:$D202,외피index!$B$9,C$2:$C202,C202),
IF($D202=외피index!$B$10, 외피index!$C$10&amp;"_"&amp;COUNTIFS(D$2:$D202,외피index!$B$10,C$2:$C202,C202), 0))))))))),"")</f>
        <v>1F_Zone003_WL_3</v>
      </c>
      <c r="B202" s="13" t="s">
        <v>37</v>
      </c>
      <c r="C202" s="13" t="s">
        <v>39</v>
      </c>
      <c r="D202" s="13" t="s">
        <v>47</v>
      </c>
      <c r="E202" s="4"/>
      <c r="F202" s="3">
        <v>11.0199464845645</v>
      </c>
      <c r="G202" s="4"/>
      <c r="H202" s="13" t="s">
        <v>54</v>
      </c>
      <c r="I202" s="3">
        <v>90</v>
      </c>
      <c r="J202" s="4"/>
      <c r="K202" s="4"/>
      <c r="L202" s="4"/>
      <c r="M202" s="4"/>
      <c r="N202" s="4">
        <v>2.79998779296875</v>
      </c>
      <c r="O202" s="4"/>
      <c r="P202" s="4"/>
    </row>
    <row r="203" spans="1:16" x14ac:dyDescent="0.3">
      <c r="A203" s="12" t="str">
        <f>IFERROR(IF(D203="","",C203&amp;"_"&amp;
IF($D203=외피index!$B$3, 외피index!$C$3&amp;"_"&amp;COUNTIFS(D$2:$D203,외피index!$B$3,C$2:$C203,C203),
IF($D203=외피index!$B$4, 외피index!$C$4&amp;"_"&amp;COUNTIFS(D$2:$D203,외피index!$B$4,C$2:$C203,C203),
IF($D203=외피index!$B$5, 외피index!$C$5&amp;"_"&amp;COUNTIFS(D$2:$D203,외피index!$B$5,C$2:$C203,C203),
IF($D203=외피index!$B$6, 외피index!$C$6&amp;"_"&amp;COUNTIFS(D$2:$D203,외피index!$B$6,C$2:$C203,C203),
IF($D203=외피index!$B$7, 외피index!$C$7&amp;"_"&amp;COUNTIFS(D$2:$D203,외피index!$B$7,C$2:$C203,C203),
IF($D203=외피index!$B$8, 외피index!$C$8&amp;"_"&amp;COUNTIFS(D$2:$D203,외피index!$B$8,C$2:$C203,C203),
IF($D203=외피index!$B$9, 외피index!$C$9&amp;"_"&amp;COUNTIFS(D$2:$D203,외피index!$B$9,C$2:$C203,C203),
IF($D203=외피index!$B$10, 외피index!$C$10&amp;"_"&amp;COUNTIFS(D$2:$D203,외피index!$B$10,C$2:$C203,C203), 0))))))))),"")</f>
        <v>2F_Zone012_WL_1</v>
      </c>
      <c r="B203" s="13" t="s">
        <v>16</v>
      </c>
      <c r="C203" s="13" t="s">
        <v>30</v>
      </c>
      <c r="D203" s="13" t="s">
        <v>47</v>
      </c>
      <c r="E203" s="4"/>
      <c r="F203" s="3">
        <v>7.33002917289559</v>
      </c>
      <c r="G203" s="4"/>
      <c r="H203" s="13" t="s">
        <v>54</v>
      </c>
      <c r="I203" s="3">
        <v>90</v>
      </c>
      <c r="J203" s="4"/>
      <c r="K203" s="4"/>
      <c r="L203" s="4"/>
      <c r="M203" s="4"/>
      <c r="N203" s="4">
        <v>2.90000915527343</v>
      </c>
      <c r="O203" s="4"/>
      <c r="P203" s="4"/>
    </row>
    <row r="204" spans="1:16" x14ac:dyDescent="0.3">
      <c r="A204" s="12" t="str">
        <f>IFERROR(IF(D204="","",C204&amp;"_"&amp;
IF($D204=외피index!$B$3, 외피index!$C$3&amp;"_"&amp;COUNTIFS(D$2:$D204,외피index!$B$3,C$2:$C204,C204),
IF($D204=외피index!$B$4, 외피index!$C$4&amp;"_"&amp;COUNTIFS(D$2:$D204,외피index!$B$4,C$2:$C204,C204),
IF($D204=외피index!$B$5, 외피index!$C$5&amp;"_"&amp;COUNTIFS(D$2:$D204,외피index!$B$5,C$2:$C204,C204),
IF($D204=외피index!$B$6, 외피index!$C$6&amp;"_"&amp;COUNTIFS(D$2:$D204,외피index!$B$6,C$2:$C204,C204),
IF($D204=외피index!$B$7, 외피index!$C$7&amp;"_"&amp;COUNTIFS(D$2:$D204,외피index!$B$7,C$2:$C204,C204),
IF($D204=외피index!$B$8, 외피index!$C$8&amp;"_"&amp;COUNTIFS(D$2:$D204,외피index!$B$8,C$2:$C204,C204),
IF($D204=외피index!$B$9, 외피index!$C$9&amp;"_"&amp;COUNTIFS(D$2:$D204,외피index!$B$9,C$2:$C204,C204),
IF($D204=외피index!$B$10, 외피index!$C$10&amp;"_"&amp;COUNTIFS(D$2:$D204,외피index!$B$10,C$2:$C204,C204), 0))))))))),"")</f>
        <v>3F_Zone019_WIN_1</v>
      </c>
      <c r="B204" s="13" t="s">
        <v>35</v>
      </c>
      <c r="C204" s="13" t="s">
        <v>31</v>
      </c>
      <c r="D204" s="13" t="s">
        <v>48</v>
      </c>
      <c r="E204" s="4"/>
      <c r="F204" s="3">
        <v>1.8270585807622399</v>
      </c>
      <c r="G204" s="4"/>
      <c r="H204" s="13" t="s">
        <v>54</v>
      </c>
      <c r="I204" s="3">
        <v>90</v>
      </c>
      <c r="J204" s="4">
        <v>0</v>
      </c>
      <c r="K204" s="4">
        <v>0</v>
      </c>
      <c r="L204" s="4">
        <v>0</v>
      </c>
      <c r="M204" s="4">
        <v>1.98122978210449</v>
      </c>
      <c r="N204" s="4"/>
      <c r="O204" s="4">
        <v>1.45001220703125</v>
      </c>
      <c r="P204" s="4">
        <v>1.92099205600831</v>
      </c>
    </row>
    <row r="205" spans="1:16" x14ac:dyDescent="0.3">
      <c r="A205" s="12" t="str">
        <f>IFERROR(IF(D205="","",C205&amp;"_"&amp;
IF($D205=외피index!$B$3, 외피index!$C$3&amp;"_"&amp;COUNTIFS(D$2:$D205,외피index!$B$3,C$2:$C205,C205),
IF($D205=외피index!$B$4, 외피index!$C$4&amp;"_"&amp;COUNTIFS(D$2:$D205,외피index!$B$4,C$2:$C205,C205),
IF($D205=외피index!$B$5, 외피index!$C$5&amp;"_"&amp;COUNTIFS(D$2:$D205,외피index!$B$5,C$2:$C205,C205),
IF($D205=외피index!$B$6, 외피index!$C$6&amp;"_"&amp;COUNTIFS(D$2:$D205,외피index!$B$6,C$2:$C205,C205),
IF($D205=외피index!$B$7, 외피index!$C$7&amp;"_"&amp;COUNTIFS(D$2:$D205,외피index!$B$7,C$2:$C205,C205),
IF($D205=외피index!$B$8, 외피index!$C$8&amp;"_"&amp;COUNTIFS(D$2:$D205,외피index!$B$8,C$2:$C205,C205),
IF($D205=외피index!$B$9, 외피index!$C$9&amp;"_"&amp;COUNTIFS(D$2:$D205,외피index!$B$9,C$2:$C205,C205),
IF($D205=외피index!$B$10, 외피index!$C$10&amp;"_"&amp;COUNTIFS(D$2:$D205,외피index!$B$10,C$2:$C205,C205), 0))))))))),"")</f>
        <v>3F_Zone018_WIN_1</v>
      </c>
      <c r="B205" s="13" t="s">
        <v>35</v>
      </c>
      <c r="C205" s="13" t="s">
        <v>34</v>
      </c>
      <c r="D205" s="13" t="s">
        <v>48</v>
      </c>
      <c r="E205" s="4"/>
      <c r="F205" s="3">
        <v>0.80998128863575403</v>
      </c>
      <c r="G205" s="4"/>
      <c r="H205" s="13" t="s">
        <v>54</v>
      </c>
      <c r="I205" s="3">
        <v>90</v>
      </c>
      <c r="J205" s="4">
        <v>0</v>
      </c>
      <c r="K205" s="4">
        <v>0</v>
      </c>
      <c r="L205" s="4">
        <v>0</v>
      </c>
      <c r="M205" s="4">
        <v>1.67187023162841</v>
      </c>
      <c r="N205" s="4"/>
      <c r="O205" s="4">
        <v>0.90000915527343694</v>
      </c>
      <c r="P205" s="4">
        <v>1.2727775056153201</v>
      </c>
    </row>
    <row r="206" spans="1:16" x14ac:dyDescent="0.3">
      <c r="A206" s="12" t="str">
        <f>IFERROR(IF(D206="","",C206&amp;"_"&amp;
IF($D206=외피index!$B$3, 외피index!$C$3&amp;"_"&amp;COUNTIFS(D$2:$D206,외피index!$B$3,C$2:$C206,C206),
IF($D206=외피index!$B$4, 외피index!$C$4&amp;"_"&amp;COUNTIFS(D$2:$D206,외피index!$B$4,C$2:$C206,C206),
IF($D206=외피index!$B$5, 외피index!$C$5&amp;"_"&amp;COUNTIFS(D$2:$D206,외피index!$B$5,C$2:$C206,C206),
IF($D206=외피index!$B$6, 외피index!$C$6&amp;"_"&amp;COUNTIFS(D$2:$D206,외피index!$B$6,C$2:$C206,C206),
IF($D206=외피index!$B$7, 외피index!$C$7&amp;"_"&amp;COUNTIFS(D$2:$D206,외피index!$B$7,C$2:$C206,C206),
IF($D206=외피index!$B$8, 외피index!$C$8&amp;"_"&amp;COUNTIFS(D$2:$D206,외피index!$B$8,C$2:$C206,C206),
IF($D206=외피index!$B$9, 외피index!$C$9&amp;"_"&amp;COUNTIFS(D$2:$D206,외피index!$B$9,C$2:$C206,C206),
IF($D206=외피index!$B$10, 외피index!$C$10&amp;"_"&amp;COUNTIFS(D$2:$D206,외피index!$B$10,C$2:$C206,C206), 0))))))))),"")</f>
        <v>1F_Zone003_WIN_3</v>
      </c>
      <c r="B206" s="13" t="s">
        <v>37</v>
      </c>
      <c r="C206" s="13" t="s">
        <v>39</v>
      </c>
      <c r="D206" s="13" t="s">
        <v>48</v>
      </c>
      <c r="E206" s="4"/>
      <c r="F206" s="3">
        <v>1.30000007152557</v>
      </c>
      <c r="G206" s="4"/>
      <c r="H206" s="13" t="s">
        <v>54</v>
      </c>
      <c r="I206" s="3">
        <v>90</v>
      </c>
      <c r="J206" s="4">
        <v>0</v>
      </c>
      <c r="K206" s="4">
        <v>0</v>
      </c>
      <c r="L206" s="4">
        <v>0</v>
      </c>
      <c r="M206" s="4">
        <v>9.1763101816177297</v>
      </c>
      <c r="N206" s="4"/>
      <c r="O206" s="4">
        <v>1</v>
      </c>
      <c r="P206" s="4">
        <v>1.64012200337855</v>
      </c>
    </row>
    <row r="207" spans="1:16" x14ac:dyDescent="0.3">
      <c r="A207" s="12" t="str">
        <f>IFERROR(IF(D207="","",C207&amp;"_"&amp;
IF($D207=외피index!$B$3, 외피index!$C$3&amp;"_"&amp;COUNTIFS(D$2:$D207,외피index!$B$3,C$2:$C207,C207),
IF($D207=외피index!$B$4, 외피index!$C$4&amp;"_"&amp;COUNTIFS(D$2:$D207,외피index!$B$4,C$2:$C207,C207),
IF($D207=외피index!$B$5, 외피index!$C$5&amp;"_"&amp;COUNTIFS(D$2:$D207,외피index!$B$5,C$2:$C207,C207),
IF($D207=외피index!$B$6, 외피index!$C$6&amp;"_"&amp;COUNTIFS(D$2:$D207,외피index!$B$6,C$2:$C207,C207),
IF($D207=외피index!$B$7, 외피index!$C$7&amp;"_"&amp;COUNTIFS(D$2:$D207,외피index!$B$7,C$2:$C207,C207),
IF($D207=외피index!$B$8, 외피index!$C$8&amp;"_"&amp;COUNTIFS(D$2:$D207,외피index!$B$8,C$2:$C207,C207),
IF($D207=외피index!$B$9, 외피index!$C$9&amp;"_"&amp;COUNTIFS(D$2:$D207,외피index!$B$9,C$2:$C207,C207),
IF($D207=외피index!$B$10, 외피index!$C$10&amp;"_"&amp;COUNTIFS(D$2:$D207,외피index!$B$10,C$2:$C207,C207), 0))))))))),"")</f>
        <v>4F_Zone021_WIN_2</v>
      </c>
      <c r="B207" s="13" t="s">
        <v>41</v>
      </c>
      <c r="C207" s="13" t="s">
        <v>36</v>
      </c>
      <c r="D207" s="13" t="s">
        <v>48</v>
      </c>
      <c r="E207" s="4"/>
      <c r="F207" s="3">
        <v>1</v>
      </c>
      <c r="G207" s="4"/>
      <c r="H207" s="13" t="s">
        <v>54</v>
      </c>
      <c r="I207" s="3">
        <v>90</v>
      </c>
      <c r="J207" s="4">
        <v>0</v>
      </c>
      <c r="K207" s="4">
        <v>0</v>
      </c>
      <c r="L207" s="4">
        <v>0</v>
      </c>
      <c r="M207" s="4">
        <v>0</v>
      </c>
      <c r="N207" s="4"/>
      <c r="O207" s="4">
        <v>1</v>
      </c>
      <c r="P207" s="4">
        <v>1.41421356237309</v>
      </c>
    </row>
    <row r="208" spans="1:16" x14ac:dyDescent="0.3">
      <c r="A208" s="12" t="str">
        <f>IFERROR(IF(D208="","",C208&amp;"_"&amp;
IF($D208=외피index!$B$3, 외피index!$C$3&amp;"_"&amp;COUNTIFS(D$2:$D208,외피index!$B$3,C$2:$C208,C208),
IF($D208=외피index!$B$4, 외피index!$C$4&amp;"_"&amp;COUNTIFS(D$2:$D208,외피index!$B$4,C$2:$C208,C208),
IF($D208=외피index!$B$5, 외피index!$C$5&amp;"_"&amp;COUNTIFS(D$2:$D208,외피index!$B$5,C$2:$C208,C208),
IF($D208=외피index!$B$6, 외피index!$C$6&amp;"_"&amp;COUNTIFS(D$2:$D208,외피index!$B$6,C$2:$C208,C208),
IF($D208=외피index!$B$7, 외피index!$C$7&amp;"_"&amp;COUNTIFS(D$2:$D208,외피index!$B$7,C$2:$C208,C208),
IF($D208=외피index!$B$8, 외피index!$C$8&amp;"_"&amp;COUNTIFS(D$2:$D208,외피index!$B$8,C$2:$C208,C208),
IF($D208=외피index!$B$9, 외피index!$C$9&amp;"_"&amp;COUNTIFS(D$2:$D208,외피index!$B$9,C$2:$C208,C208),
IF($D208=외피index!$B$10, 외피index!$C$10&amp;"_"&amp;COUNTIFS(D$2:$D208,외피index!$B$10,C$2:$C208,C208), 0))))))))),"")</f>
        <v>1F_Zone004_WIN_1</v>
      </c>
      <c r="B208" s="13" t="s">
        <v>37</v>
      </c>
      <c r="C208" s="13" t="s">
        <v>40</v>
      </c>
      <c r="D208" s="13" t="s">
        <v>48</v>
      </c>
      <c r="E208" s="4"/>
      <c r="F208" s="3">
        <v>1</v>
      </c>
      <c r="G208" s="4"/>
      <c r="H208" s="13" t="s">
        <v>54</v>
      </c>
      <c r="I208" s="3">
        <v>90</v>
      </c>
      <c r="J208" s="4">
        <v>0</v>
      </c>
      <c r="K208" s="4">
        <v>0</v>
      </c>
      <c r="L208" s="4">
        <v>0</v>
      </c>
      <c r="M208" s="4">
        <v>8.9453802108764595</v>
      </c>
      <c r="N208" s="4"/>
      <c r="O208" s="4">
        <v>1</v>
      </c>
      <c r="P208" s="4">
        <v>1.41421356237309</v>
      </c>
    </row>
    <row r="209" spans="1:16" x14ac:dyDescent="0.3">
      <c r="A209" s="12" t="str">
        <f>IFERROR(IF(D209="","",C209&amp;"_"&amp;
IF($D209=외피index!$B$3, 외피index!$C$3&amp;"_"&amp;COUNTIFS(D$2:$D209,외피index!$B$3,C$2:$C209,C209),
IF($D209=외피index!$B$4, 외피index!$C$4&amp;"_"&amp;COUNTIFS(D$2:$D209,외피index!$B$4,C$2:$C209,C209),
IF($D209=외피index!$B$5, 외피index!$C$5&amp;"_"&amp;COUNTIFS(D$2:$D209,외피index!$B$5,C$2:$C209,C209),
IF($D209=외피index!$B$6, 외피index!$C$6&amp;"_"&amp;COUNTIFS(D$2:$D209,외피index!$B$6,C$2:$C209,C209),
IF($D209=외피index!$B$7, 외피index!$C$7&amp;"_"&amp;COUNTIFS(D$2:$D209,외피index!$B$7,C$2:$C209,C209),
IF($D209=외피index!$B$8, 외피index!$C$8&amp;"_"&amp;COUNTIFS(D$2:$D209,외피index!$B$8,C$2:$C209,C209),
IF($D209=외피index!$B$9, 외피index!$C$9&amp;"_"&amp;COUNTIFS(D$2:$D209,외피index!$B$9,C$2:$C209,C209),
IF($D209=외피index!$B$10, 외피index!$C$10&amp;"_"&amp;COUNTIFS(D$2:$D209,외피index!$B$10,C$2:$C209,C209), 0))))))))),"")</f>
        <v>2F_Zone012_WIN_1</v>
      </c>
      <c r="B209" s="13" t="s">
        <v>16</v>
      </c>
      <c r="C209" s="13" t="s">
        <v>30</v>
      </c>
      <c r="D209" s="13" t="s">
        <v>48</v>
      </c>
      <c r="E209" s="4"/>
      <c r="F209" s="3">
        <v>1.9499995708465501</v>
      </c>
      <c r="G209" s="4"/>
      <c r="H209" s="13" t="s">
        <v>54</v>
      </c>
      <c r="I209" s="3">
        <v>90</v>
      </c>
      <c r="J209" s="4">
        <v>0</v>
      </c>
      <c r="K209" s="4">
        <v>0</v>
      </c>
      <c r="L209" s="4">
        <v>0</v>
      </c>
      <c r="M209" s="4">
        <v>5.1900401115417401</v>
      </c>
      <c r="N209" s="4"/>
      <c r="O209" s="4">
        <v>1.5</v>
      </c>
      <c r="P209" s="4">
        <v>1.9849431367507999</v>
      </c>
    </row>
    <row r="210" spans="1:16" x14ac:dyDescent="0.3">
      <c r="A210" s="12" t="str">
        <f>IFERROR(IF(D210="","",C210&amp;"_"&amp;
IF($D210=외피index!$B$3, 외피index!$C$3&amp;"_"&amp;COUNTIFS(D$2:$D210,외피index!$B$3,C$2:$C210,C210),
IF($D210=외피index!$B$4, 외피index!$C$4&amp;"_"&amp;COUNTIFS(D$2:$D210,외피index!$B$4,C$2:$C210,C210),
IF($D210=외피index!$B$5, 외피index!$C$5&amp;"_"&amp;COUNTIFS(D$2:$D210,외피index!$B$5,C$2:$C210,C210),
IF($D210=외피index!$B$6, 외피index!$C$6&amp;"_"&amp;COUNTIFS(D$2:$D210,외피index!$B$6,C$2:$C210,C210),
IF($D210=외피index!$B$7, 외피index!$C$7&amp;"_"&amp;COUNTIFS(D$2:$D210,외피index!$B$7,C$2:$C210,C210),
IF($D210=외피index!$B$8, 외피index!$C$8&amp;"_"&amp;COUNTIFS(D$2:$D210,외피index!$B$8,C$2:$C210,C210),
IF($D210=외피index!$B$9, 외피index!$C$9&amp;"_"&amp;COUNTIFS(D$2:$D210,외피index!$B$9,C$2:$C210,C210),
IF($D210=외피index!$B$10, 외피index!$C$10&amp;"_"&amp;COUNTIFS(D$2:$D210,외피index!$B$10,C$2:$C210,C210), 0))))))))),"")</f>
        <v>2F_Zone010_WIN_1</v>
      </c>
      <c r="B210" s="13" t="s">
        <v>16</v>
      </c>
      <c r="C210" s="13" t="s">
        <v>28</v>
      </c>
      <c r="D210" s="13" t="s">
        <v>48</v>
      </c>
      <c r="E210" s="4"/>
      <c r="F210" s="3">
        <v>1.95000028610229</v>
      </c>
      <c r="G210" s="4"/>
      <c r="H210" s="13" t="s">
        <v>54</v>
      </c>
      <c r="I210" s="3">
        <v>90</v>
      </c>
      <c r="J210" s="4">
        <v>0</v>
      </c>
      <c r="K210" s="4">
        <v>0</v>
      </c>
      <c r="L210" s="4">
        <v>0</v>
      </c>
      <c r="M210" s="4">
        <v>5.10624027252197</v>
      </c>
      <c r="N210" s="4"/>
      <c r="O210" s="4">
        <v>1.5</v>
      </c>
      <c r="P210" s="4">
        <v>1.9849434490460101</v>
      </c>
    </row>
    <row r="211" spans="1:16" x14ac:dyDescent="0.3">
      <c r="A211" s="12" t="str">
        <f>IFERROR(IF(D211="","",C211&amp;"_"&amp;
IF($D211=외피index!$B$3, 외피index!$C$3&amp;"_"&amp;COUNTIFS(D$2:$D211,외피index!$B$3,C$2:$C211,C211),
IF($D211=외피index!$B$4, 외피index!$C$4&amp;"_"&amp;COUNTIFS(D$2:$D211,외피index!$B$4,C$2:$C211,C211),
IF($D211=외피index!$B$5, 외피index!$C$5&amp;"_"&amp;COUNTIFS(D$2:$D211,외피index!$B$5,C$2:$C211,C211),
IF($D211=외피index!$B$6, 외피index!$C$6&amp;"_"&amp;COUNTIFS(D$2:$D211,외피index!$B$6,C$2:$C211,C211),
IF($D211=외피index!$B$7, 외피index!$C$7&amp;"_"&amp;COUNTIFS(D$2:$D211,외피index!$B$7,C$2:$C211,C211),
IF($D211=외피index!$B$8, 외피index!$C$8&amp;"_"&amp;COUNTIFS(D$2:$D211,외피index!$B$8,C$2:$C211,C211),
IF($D211=외피index!$B$9, 외피index!$C$9&amp;"_"&amp;COUNTIFS(D$2:$D211,외피index!$B$9,C$2:$C211,C211),
IF($D211=외피index!$B$10, 외피index!$C$10&amp;"_"&amp;COUNTIFS(D$2:$D211,외피index!$B$10,C$2:$C211,C211), 0))))))))),"")</f>
        <v>2F_Zone010_WIN_2</v>
      </c>
      <c r="B211" s="13" t="s">
        <v>16</v>
      </c>
      <c r="C211" s="13" t="s">
        <v>28</v>
      </c>
      <c r="D211" s="13" t="s">
        <v>48</v>
      </c>
      <c r="E211" s="4"/>
      <c r="F211" s="3">
        <v>1.95000028610229</v>
      </c>
      <c r="G211" s="4"/>
      <c r="H211" s="13" t="s">
        <v>54</v>
      </c>
      <c r="I211" s="3">
        <v>90</v>
      </c>
      <c r="J211" s="4">
        <v>0</v>
      </c>
      <c r="K211" s="4">
        <v>0</v>
      </c>
      <c r="L211" s="4">
        <v>0</v>
      </c>
      <c r="M211" s="4">
        <v>5.10624027252197</v>
      </c>
      <c r="N211" s="4"/>
      <c r="O211" s="4">
        <v>1.5</v>
      </c>
      <c r="P211" s="4">
        <v>1.9849434490460101</v>
      </c>
    </row>
    <row r="212" spans="1:16" x14ac:dyDescent="0.3">
      <c r="A212" s="12" t="str">
        <f>IFERROR(IF(D212="","",C212&amp;"_"&amp;
IF($D212=외피index!$B$3, 외피index!$C$3&amp;"_"&amp;COUNTIFS(D$2:$D212,외피index!$B$3,C$2:$C212,C212),
IF($D212=외피index!$B$4, 외피index!$C$4&amp;"_"&amp;COUNTIFS(D$2:$D212,외피index!$B$4,C$2:$C212,C212),
IF($D212=외피index!$B$5, 외피index!$C$5&amp;"_"&amp;COUNTIFS(D$2:$D212,외피index!$B$5,C$2:$C212,C212),
IF($D212=외피index!$B$6, 외피index!$C$6&amp;"_"&amp;COUNTIFS(D$2:$D212,외피index!$B$6,C$2:$C212,C212),
IF($D212=외피index!$B$7, 외피index!$C$7&amp;"_"&amp;COUNTIFS(D$2:$D212,외피index!$B$7,C$2:$C212,C212),
IF($D212=외피index!$B$8, 외피index!$C$8&amp;"_"&amp;COUNTIFS(D$2:$D212,외피index!$B$8,C$2:$C212,C212),
IF($D212=외피index!$B$9, 외피index!$C$9&amp;"_"&amp;COUNTIFS(D$2:$D212,외피index!$B$9,C$2:$C212,C212),
IF($D212=외피index!$B$10, 외피index!$C$10&amp;"_"&amp;COUNTIFS(D$2:$D212,외피index!$B$10,C$2:$C212,C212), 0))))))))),"")</f>
        <v>2F_Zone011_WIN_1</v>
      </c>
      <c r="B212" s="13" t="s">
        <v>16</v>
      </c>
      <c r="C212" s="13" t="s">
        <v>23</v>
      </c>
      <c r="D212" s="13" t="s">
        <v>48</v>
      </c>
      <c r="E212" s="4"/>
      <c r="F212" s="3">
        <v>1</v>
      </c>
      <c r="G212" s="4"/>
      <c r="H212" s="13" t="s">
        <v>54</v>
      </c>
      <c r="I212" s="3">
        <v>90</v>
      </c>
      <c r="J212" s="4">
        <v>0</v>
      </c>
      <c r="K212" s="4">
        <v>0</v>
      </c>
      <c r="L212" s="4">
        <v>0</v>
      </c>
      <c r="M212" s="4">
        <v>4.8900899887084899</v>
      </c>
      <c r="N212" s="4"/>
      <c r="O212" s="4">
        <v>1</v>
      </c>
      <c r="P212" s="4">
        <v>1.41421356237309</v>
      </c>
    </row>
    <row r="213" spans="1:16" x14ac:dyDescent="0.3">
      <c r="A213" s="12" t="str">
        <f>IFERROR(IF(D213="","",C213&amp;"_"&amp;
IF($D213=외피index!$B$3, 외피index!$C$3&amp;"_"&amp;COUNTIFS(D$2:$D213,외피index!$B$3,C$2:$C213,C213),
IF($D213=외피index!$B$4, 외피index!$C$4&amp;"_"&amp;COUNTIFS(D$2:$D213,외피index!$B$4,C$2:$C213,C213),
IF($D213=외피index!$B$5, 외피index!$C$5&amp;"_"&amp;COUNTIFS(D$2:$D213,외피index!$B$5,C$2:$C213,C213),
IF($D213=외피index!$B$6, 외피index!$C$6&amp;"_"&amp;COUNTIFS(D$2:$D213,외피index!$B$6,C$2:$C213,C213),
IF($D213=외피index!$B$7, 외피index!$C$7&amp;"_"&amp;COUNTIFS(D$2:$D213,외피index!$B$7,C$2:$C213,C213),
IF($D213=외피index!$B$8, 외피index!$C$8&amp;"_"&amp;COUNTIFS(D$2:$D213,외피index!$B$8,C$2:$C213,C213),
IF($D213=외피index!$B$9, 외피index!$C$9&amp;"_"&amp;COUNTIFS(D$2:$D213,외피index!$B$9,C$2:$C213,C213),
IF($D213=외피index!$B$10, 외피index!$C$10&amp;"_"&amp;COUNTIFS(D$2:$D213,외피index!$B$10,C$2:$C213,C213), 0))))))))),"")</f>
        <v>3F_Zone016_DR_1</v>
      </c>
      <c r="B213" s="13" t="s">
        <v>35</v>
      </c>
      <c r="C213" s="13" t="s">
        <v>26</v>
      </c>
      <c r="D213" s="13" t="s">
        <v>51</v>
      </c>
      <c r="E213" s="4"/>
      <c r="F213" s="3">
        <v>1.88998709678708</v>
      </c>
      <c r="G213" s="4"/>
      <c r="H213" s="13" t="s">
        <v>54</v>
      </c>
      <c r="I213" s="3">
        <v>90</v>
      </c>
      <c r="J213" s="4"/>
      <c r="K213" s="4"/>
      <c r="L213" s="4"/>
      <c r="M213" s="4"/>
      <c r="N213" s="4"/>
      <c r="O213" s="4">
        <v>0.899993896484375</v>
      </c>
      <c r="P213" s="4">
        <v>2.28472943981687</v>
      </c>
    </row>
  </sheetData>
  <phoneticPr fontId="18" type="noConversion"/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5" id="{C7FA1EB0-5A96-4B39-9683-4535B76AE6D1}">
            <xm:f>$D2=외피index!$B$3</xm:f>
            <x14:dxf>
              <fill>
                <patternFill>
                  <bgColor theme="5" tint="0.79998168889431442"/>
                </patternFill>
              </fill>
            </x14:dxf>
          </x14:cfRule>
          <xm:sqref>E2:E2000</xm:sqref>
        </x14:conditionalFormatting>
        <x14:conditionalFormatting xmlns:xm="http://schemas.microsoft.com/office/excel/2006/main">
          <x14:cfRule type="expression" priority="4" id="{C832EB2C-CF24-4754-BBB1-A7BDB4DB322B}">
            <xm:f>OR($D2=외피index!$B$9,$D2=외피index!$B$10)</xm:f>
            <x14:dxf>
              <fill>
                <patternFill>
                  <bgColor theme="5" tint="0.79998168889431442"/>
                </patternFill>
              </fill>
            </x14:dxf>
          </x14:cfRule>
          <xm:sqref>G2:G2000</xm:sqref>
        </x14:conditionalFormatting>
        <x14:conditionalFormatting xmlns:xm="http://schemas.microsoft.com/office/excel/2006/main">
          <x14:cfRule type="expression" priority="3" id="{C4FF120F-3B57-410E-8A14-1E7893E59437}">
            <xm:f>OR($D2=외피index!$B$3,$D2=외피index!$B$7)</xm:f>
            <x14:dxf>
              <fill>
                <patternFill>
                  <bgColor theme="7" tint="0.79998168889431442"/>
                </patternFill>
              </fill>
            </x14:dxf>
          </x14:cfRule>
          <xm:sqref>J2:M2000</xm:sqref>
        </x14:conditionalFormatting>
        <x14:conditionalFormatting xmlns:xm="http://schemas.microsoft.com/office/excel/2006/main">
          <x14:cfRule type="expression" priority="2" id="{C93FB89D-8541-4596-ADB7-717CD71A587F}">
            <xm:f>OR($D2=외피index!$B$4,$D2=외피index!$B$9)</xm:f>
            <x14:dxf>
              <fill>
                <patternFill>
                  <bgColor theme="7" tint="0.79998168889431442"/>
                </patternFill>
              </fill>
            </x14:dxf>
          </x14:cfRule>
          <xm:sqref>N2:N2000</xm:sqref>
        </x14:conditionalFormatting>
        <x14:conditionalFormatting xmlns:xm="http://schemas.microsoft.com/office/excel/2006/main">
          <x14:cfRule type="expression" priority="1" id="{9340B0A1-0C6F-4A97-A23C-A21A80335BD5}">
            <xm:f>OR($D2=외피index!$B$3,$D2=외피index!$B$7,$D2=외피index!$B$8)</xm:f>
            <x14:dxf>
              <fill>
                <patternFill>
                  <bgColor theme="7" tint="0.79998168889431442"/>
                </patternFill>
              </fill>
            </x14:dxf>
          </x14:cfRule>
          <xm:sqref>O2:P2000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외피index!$B$3:$B$10</xm:f>
          </x14:formula1>
          <xm:sqref>D2:D213</xm:sqref>
        </x14:dataValidation>
        <x14:dataValidation type="list" allowBlank="1" showInputMessage="1" showErrorMessage="1">
          <x14:formula1>
            <xm:f>외피index!$B$25:$B$27</xm:f>
          </x14:formula1>
          <xm:sqref>E2:E213</xm:sqref>
        </x14:dataValidation>
        <x14:dataValidation type="list" allowBlank="1" showInputMessage="1" showErrorMessage="1">
          <x14:formula1>
            <xm:f>ZoneGeneral_3D!$A$2:$A$21</xm:f>
          </x14:formula1>
          <xm:sqref>C2:C213 G2:G213</xm:sqref>
        </x14:dataValidation>
        <x14:dataValidation type="list" allowBlank="1" showInputMessage="1" showErrorMessage="1">
          <x14:formula1>
            <xm:f>외피index!$B$32:$B$66</xm:f>
          </x14:formula1>
          <xm:sqref>B2:B213</xm:sqref>
        </x14:dataValidation>
        <x14:dataValidation type="list" allowBlank="1" showInputMessage="1" showErrorMessage="1">
          <x14:formula1>
            <xm:f>외피index!$B$13:$B$21</xm:f>
          </x14:formula1>
          <xm:sqref>H2:H213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E6" sqref="E6"/>
    </sheetView>
  </sheetViews>
  <sheetFormatPr defaultRowHeight="16.5" x14ac:dyDescent="0.3"/>
  <cols>
    <col min="1" max="1" width="7.375" style="5" bestFit="1" customWidth="1"/>
    <col min="2" max="2" width="20.75" style="5" bestFit="1" customWidth="1"/>
    <col min="3" max="16384" width="9" style="5"/>
  </cols>
  <sheetData>
    <row r="1" spans="1:3" x14ac:dyDescent="0.3">
      <c r="A1" s="14" t="s">
        <v>118</v>
      </c>
      <c r="B1" s="14" t="s">
        <v>57</v>
      </c>
      <c r="C1" s="14" t="s">
        <v>58</v>
      </c>
    </row>
    <row r="2" spans="1:3" x14ac:dyDescent="0.3">
      <c r="A2" s="12" t="str">
        <f>IF(B2="","",INDEX(외피index!$C$69:$C$79,MATCH(B2,외피index!$B$69:$B$79,0),1)&amp;"_"&amp;
IF(B2=외피index!$B$69,COUNTIF($B$2:B2,외피index!$B$69),
IF(B2=외피index!$B$70,COUNTIF($B$2:B2,외피index!$B$70),
IF(B2=외피index!$B$71,COUNTIF($B$2:B2,외피index!$B$71),
IF(B2=외피index!$B$72,COUNTIF($B$2:B2,외피index!$B$72),
IF(B2=외피index!$B$73,COUNTIF($B$2:B2,외피index!$B$73),
IF(B2=외피index!$B$74,COUNTIF($B$2:B2,외피index!$B$74),
IF(B2=외피index!$B$75,COUNTIF($B$2:B2,외피index!$B$75),
IF(B2=외피index!$B$76,COUNTIF($B$2:B2,외피index!$B$76),
IF(B2=외피index!$B$77,COUNTIF($B$2:B2,외피index!$B$77),
IF(B2=외피index!$B$78,COUNTIF($B$2:B2,외피index!$B$78),
IF(B2=외피index!$B$79,COUNTIF($B$2:B2,외피index!$B$79)))))))))))))</f>
        <v>TB1_1</v>
      </c>
      <c r="B2" s="13" t="s">
        <v>59</v>
      </c>
      <c r="C2" s="3">
        <v>118.09</v>
      </c>
    </row>
    <row r="3" spans="1:3" x14ac:dyDescent="0.3">
      <c r="A3" s="12" t="str">
        <f>IF(B3="","",INDEX(외피index!$C$69:$C$79,MATCH(B3,외피index!$B$69:$B$79,0),1)&amp;"_"&amp;
IF(B3=외피index!$B$69,COUNTIF($B$2:B3,외피index!$B$69),
IF(B3=외피index!$B$70,COUNTIF($B$2:B3,외피index!$B$70),
IF(B3=외피index!$B$71,COUNTIF($B$2:B3,외피index!$B$71),
IF(B3=외피index!$B$72,COUNTIF($B$2:B3,외피index!$B$72),
IF(B3=외피index!$B$73,COUNTIF($B$2:B3,외피index!$B$73),
IF(B3=외피index!$B$74,COUNTIF($B$2:B3,외피index!$B$74),
IF(B3=외피index!$B$75,COUNTIF($B$2:B3,외피index!$B$75),
IF(B3=외피index!$B$76,COUNTIF($B$2:B3,외피index!$B$76),
IF(B3=외피index!$B$77,COUNTIF($B$2:B3,외피index!$B$77),
IF(B3=외피index!$B$78,COUNTIF($B$2:B3,외피index!$B$78),
IF(B3=외피index!$B$79,COUNTIF($B$2:B3,외피index!$B$79)))))))))))))</f>
        <v>TB1_2</v>
      </c>
      <c r="B3" s="13" t="s">
        <v>59</v>
      </c>
      <c r="C3" s="3">
        <v>100</v>
      </c>
    </row>
    <row r="4" spans="1:3" x14ac:dyDescent="0.3">
      <c r="A4" s="12" t="str">
        <f>IF(B4="","",INDEX(외피index!$C$69:$C$79,MATCH(B4,외피index!$B$69:$B$79,0),1)&amp;"_"&amp;
IF(B4=외피index!$B$69,COUNTIF($B$2:B4,외피index!$B$69),
IF(B4=외피index!$B$70,COUNTIF($B$2:B4,외피index!$B$70),
IF(B4=외피index!$B$71,COUNTIF($B$2:B4,외피index!$B$71),
IF(B4=외피index!$B$72,COUNTIF($B$2:B4,외피index!$B$72),
IF(B4=외피index!$B$73,COUNTIF($B$2:B4,외피index!$B$73),
IF(B4=외피index!$B$74,COUNTIF($B$2:B4,외피index!$B$74),
IF(B4=외피index!$B$75,COUNTIF($B$2:B4,외피index!$B$75),
IF(B4=외피index!$B$76,COUNTIF($B$2:B4,외피index!$B$76),
IF(B4=외피index!$B$77,COUNTIF($B$2:B4,외피index!$B$77),
IF(B4=외피index!$B$78,COUNTIF($B$2:B4,외피index!$B$78),
IF(B4=외피index!$B$79,COUNTIF($B$2:B4,외피index!$B$79)))))))))))))</f>
        <v>TB1_3</v>
      </c>
      <c r="B4" s="13" t="s">
        <v>59</v>
      </c>
      <c r="C4" s="3">
        <v>50</v>
      </c>
    </row>
    <row r="5" spans="1:3" x14ac:dyDescent="0.3">
      <c r="A5" s="12" t="str">
        <f>IF(B5="","",INDEX(외피index!$C$69:$C$79,MATCH(B5,외피index!$B$69:$B$79,0),1)&amp;"_"&amp;
IF(B5=외피index!$B$69,COUNTIF($B$2:B5,외피index!$B$69),
IF(B5=외피index!$B$70,COUNTIF($B$2:B5,외피index!$B$70),
IF(B5=외피index!$B$71,COUNTIF($B$2:B5,외피index!$B$71),
IF(B5=외피index!$B$72,COUNTIF($B$2:B5,외피index!$B$72),
IF(B5=외피index!$B$73,COUNTIF($B$2:B5,외피index!$B$73),
IF(B5=외피index!$B$74,COUNTIF($B$2:B5,외피index!$B$74),
IF(B5=외피index!$B$75,COUNTIF($B$2:B5,외피index!$B$75),
IF(B5=외피index!$B$76,COUNTIF($B$2:B5,외피index!$B$76),
IF(B5=외피index!$B$77,COUNTIF($B$2:B5,외피index!$B$77),
IF(B5=외피index!$B$78,COUNTIF($B$2:B5,외피index!$B$78),
IF(B5=외피index!$B$79,COUNTIF($B$2:B5,외피index!$B$79)))))))))))))</f>
        <v>TB2_1</v>
      </c>
      <c r="B5" s="13" t="s">
        <v>60</v>
      </c>
      <c r="C5" s="3">
        <v>41.25</v>
      </c>
    </row>
    <row r="6" spans="1:3" x14ac:dyDescent="0.3">
      <c r="A6" s="12" t="str">
        <f>IF(B6="","",INDEX(외피index!$C$69:$C$79,MATCH(B6,외피index!$B$69:$B$79,0),1)&amp;"_"&amp;
IF(B6=외피index!$B$69,COUNTIF($B$2:B6,외피index!$B$69),
IF(B6=외피index!$B$70,COUNTIF($B$2:B6,외피index!$B$70),
IF(B6=외피index!$B$71,COUNTIF($B$2:B6,외피index!$B$71),
IF(B6=외피index!$B$72,COUNTIF($B$2:B6,외피index!$B$72),
IF(B6=외피index!$B$73,COUNTIF($B$2:B6,외피index!$B$73),
IF(B6=외피index!$B$74,COUNTIF($B$2:B6,외피index!$B$74),
IF(B6=외피index!$B$75,COUNTIF($B$2:B6,외피index!$B$75),
IF(B6=외피index!$B$76,COUNTIF($B$2:B6,외피index!$B$76),
IF(B6=외피index!$B$77,COUNTIF($B$2:B6,외피index!$B$77),
IF(B6=외피index!$B$78,COUNTIF($B$2:B6,외피index!$B$78),
IF(B6=외피index!$B$79,COUNTIF($B$2:B6,외피index!$B$79)))))))))))))</f>
        <v>TB3_1</v>
      </c>
      <c r="B6" s="13" t="s">
        <v>61</v>
      </c>
      <c r="C6" s="3">
        <v>0</v>
      </c>
    </row>
    <row r="7" spans="1:3" x14ac:dyDescent="0.3">
      <c r="A7" s="12" t="str">
        <f>IF(B7="","",INDEX(외피index!$C$69:$C$79,MATCH(B7,외피index!$B$69:$B$79,0),1)&amp;"_"&amp;
IF(B7=외피index!$B$69,COUNTIF($B$2:B7,외피index!$B$69),
IF(B7=외피index!$B$70,COUNTIF($B$2:B7,외피index!$B$70),
IF(B7=외피index!$B$71,COUNTIF($B$2:B7,외피index!$B$71),
IF(B7=외피index!$B$72,COUNTIF($B$2:B7,외피index!$B$72),
IF(B7=외피index!$B$73,COUNTIF($B$2:B7,외피index!$B$73),
IF(B7=외피index!$B$74,COUNTIF($B$2:B7,외피index!$B$74),
IF(B7=외피index!$B$75,COUNTIF($B$2:B7,외피index!$B$75),
IF(B7=외피index!$B$76,COUNTIF($B$2:B7,외피index!$B$76),
IF(B7=외피index!$B$77,COUNTIF($B$2:B7,외피index!$B$77),
IF(B7=외피index!$B$78,COUNTIF($B$2:B7,외피index!$B$78),
IF(B7=외피index!$B$79,COUNTIF($B$2:B7,외피index!$B$79)))))))))))))</f>
        <v>TB4_1</v>
      </c>
      <c r="B7" s="13" t="s">
        <v>62</v>
      </c>
      <c r="C7" s="3">
        <v>0</v>
      </c>
    </row>
    <row r="8" spans="1:3" x14ac:dyDescent="0.3">
      <c r="A8" s="12" t="str">
        <f>IF(B8="","",INDEX(외피index!$C$69:$C$79,MATCH(B8,외피index!$B$69:$B$79,0),1)&amp;"_"&amp;
IF(B8=외피index!$B$69,COUNTIF($B$2:B8,외피index!$B$69),
IF(B8=외피index!$B$70,COUNTIF($B$2:B8,외피index!$B$70),
IF(B8=외피index!$B$71,COUNTIF($B$2:B8,외피index!$B$71),
IF(B8=외피index!$B$72,COUNTIF($B$2:B8,외피index!$B$72),
IF(B8=외피index!$B$73,COUNTIF($B$2:B8,외피index!$B$73),
IF(B8=외피index!$B$74,COUNTIF($B$2:B8,외피index!$B$74),
IF(B8=외피index!$B$75,COUNTIF($B$2:B8,외피index!$B$75),
IF(B8=외피index!$B$76,COUNTIF($B$2:B8,외피index!$B$76),
IF(B8=외피index!$B$77,COUNTIF($B$2:B8,외피index!$B$77),
IF(B8=외피index!$B$78,COUNTIF($B$2:B8,외피index!$B$78),
IF(B8=외피index!$B$79,COUNTIF($B$2:B8,외피index!$B$79)))))))))))))</f>
        <v>TB5_1</v>
      </c>
      <c r="B8" s="13" t="s">
        <v>63</v>
      </c>
      <c r="C8" s="3">
        <v>0</v>
      </c>
    </row>
    <row r="9" spans="1:3" x14ac:dyDescent="0.3">
      <c r="A9" s="12" t="str">
        <f>IF(B9="","",INDEX(외피index!$C$69:$C$79,MATCH(B9,외피index!$B$69:$B$79,0),1)&amp;"_"&amp;
IF(B9=외피index!$B$69,COUNTIF($B$2:B9,외피index!$B$69),
IF(B9=외피index!$B$70,COUNTIF($B$2:B9,외피index!$B$70),
IF(B9=외피index!$B$71,COUNTIF($B$2:B9,외피index!$B$71),
IF(B9=외피index!$B$72,COUNTIF($B$2:B9,외피index!$B$72),
IF(B9=외피index!$B$73,COUNTIF($B$2:B9,외피index!$B$73),
IF(B9=외피index!$B$74,COUNTIF($B$2:B9,외피index!$B$74),
IF(B9=외피index!$B$75,COUNTIF($B$2:B9,외피index!$B$75),
IF(B9=외피index!$B$76,COUNTIF($B$2:B9,외피index!$B$76),
IF(B9=외피index!$B$77,COUNTIF($B$2:B9,외피index!$B$77),
IF(B9=외피index!$B$78,COUNTIF($B$2:B9,외피index!$B$78),
IF(B9=외피index!$B$79,COUNTIF($B$2:B9,외피index!$B$79)))))))))))))</f>
        <v>TB6_1</v>
      </c>
      <c r="B9" s="13" t="s">
        <v>64</v>
      </c>
      <c r="C9" s="3">
        <v>67.7</v>
      </c>
    </row>
    <row r="10" spans="1:3" x14ac:dyDescent="0.3">
      <c r="A10" s="12" t="str">
        <f>IF(B10="","",INDEX(외피index!$C$69:$C$79,MATCH(B10,외피index!$B$69:$B$79,0),1)&amp;"_"&amp;
IF(B10=외피index!$B$69,COUNTIF($B$2:B10,외피index!$B$69),
IF(B10=외피index!$B$70,COUNTIF($B$2:B10,외피index!$B$70),
IF(B10=외피index!$B$71,COUNTIF($B$2:B10,외피index!$B$71),
IF(B10=외피index!$B$72,COUNTIF($B$2:B10,외피index!$B$72),
IF(B10=외피index!$B$73,COUNTIF($B$2:B10,외피index!$B$73),
IF(B10=외피index!$B$74,COUNTIF($B$2:B10,외피index!$B$74),
IF(B10=외피index!$B$75,COUNTIF($B$2:B10,외피index!$B$75),
IF(B10=외피index!$B$76,COUNTIF($B$2:B10,외피index!$B$76),
IF(B10=외피index!$B$77,COUNTIF($B$2:B10,외피index!$B$77),
IF(B10=외피index!$B$78,COUNTIF($B$2:B10,외피index!$B$78),
IF(B10=외피index!$B$79,COUNTIF($B$2:B10,외피index!$B$79)))))))))))))</f>
        <v>TB7_1</v>
      </c>
      <c r="B10" s="13" t="s">
        <v>65</v>
      </c>
      <c r="C10" s="3">
        <v>54.8</v>
      </c>
    </row>
    <row r="11" spans="1:3" x14ac:dyDescent="0.3">
      <c r="A11" s="12" t="str">
        <f>IF(B11="","",INDEX(외피index!$C$69:$C$79,MATCH(B11,외피index!$B$69:$B$79,0),1)&amp;"_"&amp;
IF(B11=외피index!$B$69,COUNTIF($B$2:B11,외피index!$B$69),
IF(B11=외피index!$B$70,COUNTIF($B$2:B11,외피index!$B$70),
IF(B11=외피index!$B$71,COUNTIF($B$2:B11,외피index!$B$71),
IF(B11=외피index!$B$72,COUNTIF($B$2:B11,외피index!$B$72),
IF(B11=외피index!$B$73,COUNTIF($B$2:B11,외피index!$B$73),
IF(B11=외피index!$B$74,COUNTIF($B$2:B11,외피index!$B$74),
IF(B11=외피index!$B$75,COUNTIF($B$2:B11,외피index!$B$75),
IF(B11=외피index!$B$76,COUNTIF($B$2:B11,외피index!$B$76),
IF(B11=외피index!$B$77,COUNTIF($B$2:B11,외피index!$B$77),
IF(B11=외피index!$B$78,COUNTIF($B$2:B11,외피index!$B$78),
IF(B11=외피index!$B$79,COUNTIF($B$2:B11,외피index!$B$79)))))))))))))</f>
        <v>TB8_1</v>
      </c>
      <c r="B11" s="13" t="s">
        <v>66</v>
      </c>
      <c r="C11" s="3">
        <v>144.33000000000001</v>
      </c>
    </row>
    <row r="12" spans="1:3" x14ac:dyDescent="0.3">
      <c r="A12" s="12" t="str">
        <f>IF(B12="","",INDEX(외피index!$C$69:$C$79,MATCH(B12,외피index!$B$69:$B$79,0),1)&amp;"_"&amp;
IF(B12=외피index!$B$69,COUNTIF($B$2:B12,외피index!$B$69),
IF(B12=외피index!$B$70,COUNTIF($B$2:B12,외피index!$B$70),
IF(B12=외피index!$B$71,COUNTIF($B$2:B12,외피index!$B$71),
IF(B12=외피index!$B$72,COUNTIF($B$2:B12,외피index!$B$72),
IF(B12=외피index!$B$73,COUNTIF($B$2:B12,외피index!$B$73),
IF(B12=외피index!$B$74,COUNTIF($B$2:B12,외피index!$B$74),
IF(B12=외피index!$B$75,COUNTIF($B$2:B12,외피index!$B$75),
IF(B12=외피index!$B$76,COUNTIF($B$2:B12,외피index!$B$76),
IF(B12=외피index!$B$77,COUNTIF($B$2:B12,외피index!$B$77),
IF(B12=외피index!$B$78,COUNTIF($B$2:B12,외피index!$B$78),
IF(B12=외피index!$B$79,COUNTIF($B$2:B12,외피index!$B$79)))))))))))))</f>
        <v>TB9_1</v>
      </c>
      <c r="B12" s="13" t="s">
        <v>67</v>
      </c>
      <c r="C12" s="3">
        <v>18.2</v>
      </c>
    </row>
    <row r="13" spans="1:3" x14ac:dyDescent="0.3">
      <c r="A13" s="12" t="str">
        <f>IF(B13="","",INDEX(외피index!$C$69:$C$79,MATCH(B13,외피index!$B$69:$B$79,0),1)&amp;"_"&amp;
IF(B13=외피index!$B$69,COUNTIF($B$2:B13,외피index!$B$69),
IF(B13=외피index!$B$70,COUNTIF($B$2:B13,외피index!$B$70),
IF(B13=외피index!$B$71,COUNTIF($B$2:B13,외피index!$B$71),
IF(B13=외피index!$B$72,COUNTIF($B$2:B13,외피index!$B$72),
IF(B13=외피index!$B$73,COUNTIF($B$2:B13,외피index!$B$73),
IF(B13=외피index!$B$74,COUNTIF($B$2:B13,외피index!$B$74),
IF(B13=외피index!$B$75,COUNTIF($B$2:B13,외피index!$B$75),
IF(B13=외피index!$B$76,COUNTIF($B$2:B13,외피index!$B$76),
IF(B13=외피index!$B$77,COUNTIF($B$2:B13,외피index!$B$77),
IF(B13=외피index!$B$78,COUNTIF($B$2:B13,외피index!$B$78),
IF(B13=외피index!$B$79,COUNTIF($B$2:B13,외피index!$B$79)))))))))))))</f>
        <v>TB10_1</v>
      </c>
      <c r="B13" s="13" t="s">
        <v>68</v>
      </c>
      <c r="C13" s="3">
        <v>9.25</v>
      </c>
    </row>
    <row r="14" spans="1:3" x14ac:dyDescent="0.3">
      <c r="A14" s="12" t="str">
        <f>IF(B14="","",INDEX(외피index!$C$69:$C$79,MATCH(B14,외피index!$B$69:$B$79,0),1)&amp;"_"&amp;
IF(B14=외피index!$B$69,COUNTIF($B$2:B14,외피index!$B$69),
IF(B14=외피index!$B$70,COUNTIF($B$2:B14,외피index!$B$70),
IF(B14=외피index!$B$71,COUNTIF($B$2:B14,외피index!$B$71),
IF(B14=외피index!$B$72,COUNTIF($B$2:B14,외피index!$B$72),
IF(B14=외피index!$B$73,COUNTIF($B$2:B14,외피index!$B$73),
IF(B14=외피index!$B$74,COUNTIF($B$2:B14,외피index!$B$74),
IF(B14=외피index!$B$75,COUNTIF($B$2:B14,외피index!$B$75),
IF(B14=외피index!$B$76,COUNTIF($B$2:B14,외피index!$B$76),
IF(B14=외피index!$B$77,COUNTIF($B$2:B14,외피index!$B$77),
IF(B14=외피index!$B$78,COUNTIF($B$2:B14,외피index!$B$78),
IF(B14=외피index!$B$79,COUNTIF($B$2:B14,외피index!$B$79)))))))))))))</f>
        <v>TB11_1</v>
      </c>
      <c r="B14" s="13" t="s">
        <v>69</v>
      </c>
      <c r="C14" s="3">
        <v>14.25</v>
      </c>
    </row>
  </sheetData>
  <phoneticPr fontId="18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외피index!$B$69:$B$79</xm:f>
          </x14:formula1>
          <xm:sqref>B2:B14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79"/>
  <sheetViews>
    <sheetView topLeftCell="A67" workbookViewId="0">
      <selection activeCell="C69" sqref="C69:C79"/>
    </sheetView>
  </sheetViews>
  <sheetFormatPr defaultRowHeight="16.5" x14ac:dyDescent="0.3"/>
  <sheetData>
    <row r="2" spans="1:3" x14ac:dyDescent="0.3">
      <c r="A2" s="6" t="s">
        <v>80</v>
      </c>
      <c r="B2" s="7"/>
    </row>
    <row r="3" spans="1:3" x14ac:dyDescent="0.3">
      <c r="A3" s="8">
        <v>1</v>
      </c>
      <c r="B3" s="9" t="s">
        <v>81</v>
      </c>
      <c r="C3" s="8" t="s">
        <v>89</v>
      </c>
    </row>
    <row r="4" spans="1:3" x14ac:dyDescent="0.3">
      <c r="A4" s="8">
        <v>2</v>
      </c>
      <c r="B4" s="9" t="s">
        <v>82</v>
      </c>
      <c r="C4" s="8" t="s">
        <v>90</v>
      </c>
    </row>
    <row r="5" spans="1:3" x14ac:dyDescent="0.3">
      <c r="A5" s="8">
        <v>3</v>
      </c>
      <c r="B5" s="9" t="s">
        <v>83</v>
      </c>
      <c r="C5" s="8" t="s">
        <v>91</v>
      </c>
    </row>
    <row r="6" spans="1:3" x14ac:dyDescent="0.3">
      <c r="A6" s="8">
        <v>4</v>
      </c>
      <c r="B6" s="9" t="s">
        <v>84</v>
      </c>
      <c r="C6" s="8" t="s">
        <v>92</v>
      </c>
    </row>
    <row r="7" spans="1:3" x14ac:dyDescent="0.3">
      <c r="A7" s="8">
        <v>5</v>
      </c>
      <c r="B7" s="9" t="s">
        <v>85</v>
      </c>
      <c r="C7" s="8" t="s">
        <v>93</v>
      </c>
    </row>
    <row r="8" spans="1:3" x14ac:dyDescent="0.3">
      <c r="A8" s="8">
        <v>6</v>
      </c>
      <c r="B8" s="9" t="s">
        <v>86</v>
      </c>
      <c r="C8" s="8" t="s">
        <v>94</v>
      </c>
    </row>
    <row r="9" spans="1:3" x14ac:dyDescent="0.3">
      <c r="A9" s="8">
        <v>7</v>
      </c>
      <c r="B9" s="9" t="s">
        <v>87</v>
      </c>
      <c r="C9" s="8" t="s">
        <v>95</v>
      </c>
    </row>
    <row r="10" spans="1:3" x14ac:dyDescent="0.3">
      <c r="A10" s="8">
        <v>8</v>
      </c>
      <c r="B10" s="9" t="s">
        <v>88</v>
      </c>
      <c r="C10" s="8" t="s">
        <v>96</v>
      </c>
    </row>
    <row r="12" spans="1:3" x14ac:dyDescent="0.3">
      <c r="A12" s="10" t="s">
        <v>97</v>
      </c>
      <c r="B12" s="10"/>
    </row>
    <row r="13" spans="1:3" x14ac:dyDescent="0.3">
      <c r="A13" s="8">
        <v>0</v>
      </c>
      <c r="B13" s="11" t="s">
        <v>98</v>
      </c>
    </row>
    <row r="14" spans="1:3" x14ac:dyDescent="0.3">
      <c r="A14" s="8">
        <v>1</v>
      </c>
      <c r="B14" s="11" t="s">
        <v>53</v>
      </c>
    </row>
    <row r="15" spans="1:3" x14ac:dyDescent="0.3">
      <c r="A15" s="8">
        <v>2</v>
      </c>
      <c r="B15" s="11" t="s">
        <v>99</v>
      </c>
    </row>
    <row r="16" spans="1:3" x14ac:dyDescent="0.3">
      <c r="A16" s="8">
        <v>3</v>
      </c>
      <c r="B16" s="11" t="s">
        <v>100</v>
      </c>
    </row>
    <row r="17" spans="1:2" x14ac:dyDescent="0.3">
      <c r="A17" s="8">
        <v>4</v>
      </c>
      <c r="B17" s="11" t="s">
        <v>52</v>
      </c>
    </row>
    <row r="18" spans="1:2" x14ac:dyDescent="0.3">
      <c r="A18" s="8">
        <v>5</v>
      </c>
      <c r="B18" s="11" t="s">
        <v>46</v>
      </c>
    </row>
    <row r="19" spans="1:2" x14ac:dyDescent="0.3">
      <c r="A19" s="8">
        <v>6</v>
      </c>
      <c r="B19" s="11" t="s">
        <v>101</v>
      </c>
    </row>
    <row r="20" spans="1:2" x14ac:dyDescent="0.3">
      <c r="A20" s="8">
        <v>7</v>
      </c>
      <c r="B20" s="11" t="s">
        <v>102</v>
      </c>
    </row>
    <row r="21" spans="1:2" x14ac:dyDescent="0.3">
      <c r="A21" s="8">
        <v>8</v>
      </c>
      <c r="B21" s="11" t="s">
        <v>54</v>
      </c>
    </row>
    <row r="22" spans="1:2" x14ac:dyDescent="0.3">
      <c r="A22" s="8">
        <v>9</v>
      </c>
      <c r="B22" s="11" t="s">
        <v>103</v>
      </c>
    </row>
    <row r="24" spans="1:2" x14ac:dyDescent="0.3">
      <c r="A24" s="10" t="s">
        <v>104</v>
      </c>
      <c r="B24" s="10"/>
    </row>
    <row r="25" spans="1:2" x14ac:dyDescent="0.3">
      <c r="A25" s="8">
        <v>1</v>
      </c>
      <c r="B25" s="11" t="s">
        <v>105</v>
      </c>
    </row>
    <row r="26" spans="1:2" x14ac:dyDescent="0.3">
      <c r="A26" s="8">
        <v>2</v>
      </c>
      <c r="B26" s="11" t="s">
        <v>106</v>
      </c>
    </row>
    <row r="27" spans="1:2" x14ac:dyDescent="0.3">
      <c r="A27" s="8">
        <v>3</v>
      </c>
      <c r="B27" s="1" t="s">
        <v>107</v>
      </c>
    </row>
    <row r="28" spans="1:2" x14ac:dyDescent="0.3">
      <c r="A28" s="8">
        <v>4</v>
      </c>
      <c r="B28" s="1" t="s">
        <v>108</v>
      </c>
    </row>
    <row r="31" spans="1:2" x14ac:dyDescent="0.3">
      <c r="A31" s="10" t="s">
        <v>109</v>
      </c>
      <c r="B31" s="10"/>
    </row>
    <row r="32" spans="1:2" x14ac:dyDescent="0.3">
      <c r="A32" s="8" t="s">
        <v>110</v>
      </c>
      <c r="B32" s="11" t="str">
        <f t="shared" ref="B32:B36" si="0">A32&amp;"F"</f>
        <v>B5F</v>
      </c>
    </row>
    <row r="33" spans="1:2" x14ac:dyDescent="0.3">
      <c r="A33" s="8" t="s">
        <v>111</v>
      </c>
      <c r="B33" s="11" t="str">
        <f t="shared" si="0"/>
        <v>B4F</v>
      </c>
    </row>
    <row r="34" spans="1:2" x14ac:dyDescent="0.3">
      <c r="A34" s="8" t="s">
        <v>112</v>
      </c>
      <c r="B34" s="11" t="str">
        <f t="shared" si="0"/>
        <v>B3F</v>
      </c>
    </row>
    <row r="35" spans="1:2" x14ac:dyDescent="0.3">
      <c r="A35" s="8" t="s">
        <v>113</v>
      </c>
      <c r="B35" s="11" t="str">
        <f t="shared" si="0"/>
        <v>B2F</v>
      </c>
    </row>
    <row r="36" spans="1:2" x14ac:dyDescent="0.3">
      <c r="A36" s="8" t="s">
        <v>114</v>
      </c>
      <c r="B36" s="11" t="str">
        <f t="shared" si="0"/>
        <v>B1F</v>
      </c>
    </row>
    <row r="37" spans="1:2" x14ac:dyDescent="0.3">
      <c r="A37" s="8">
        <v>1</v>
      </c>
      <c r="B37" s="11" t="str">
        <f>A37&amp;"F"</f>
        <v>1F</v>
      </c>
    </row>
    <row r="38" spans="1:2" x14ac:dyDescent="0.3">
      <c r="A38" s="8">
        <v>2</v>
      </c>
      <c r="B38" s="11" t="str">
        <f t="shared" ref="B38:B66" si="1">A38&amp;"F"</f>
        <v>2F</v>
      </c>
    </row>
    <row r="39" spans="1:2" x14ac:dyDescent="0.3">
      <c r="A39" s="8">
        <v>3</v>
      </c>
      <c r="B39" s="11" t="str">
        <f t="shared" si="1"/>
        <v>3F</v>
      </c>
    </row>
    <row r="40" spans="1:2" x14ac:dyDescent="0.3">
      <c r="A40" s="8">
        <v>4</v>
      </c>
      <c r="B40" s="11" t="str">
        <f t="shared" si="1"/>
        <v>4F</v>
      </c>
    </row>
    <row r="41" spans="1:2" x14ac:dyDescent="0.3">
      <c r="A41" s="8">
        <v>5</v>
      </c>
      <c r="B41" s="11" t="str">
        <f t="shared" si="1"/>
        <v>5F</v>
      </c>
    </row>
    <row r="42" spans="1:2" x14ac:dyDescent="0.3">
      <c r="A42" s="8">
        <v>6</v>
      </c>
      <c r="B42" s="11" t="str">
        <f t="shared" si="1"/>
        <v>6F</v>
      </c>
    </row>
    <row r="43" spans="1:2" x14ac:dyDescent="0.3">
      <c r="A43" s="8">
        <v>7</v>
      </c>
      <c r="B43" s="11" t="str">
        <f t="shared" si="1"/>
        <v>7F</v>
      </c>
    </row>
    <row r="44" spans="1:2" x14ac:dyDescent="0.3">
      <c r="A44" s="8">
        <v>8</v>
      </c>
      <c r="B44" s="11" t="str">
        <f t="shared" si="1"/>
        <v>8F</v>
      </c>
    </row>
    <row r="45" spans="1:2" x14ac:dyDescent="0.3">
      <c r="A45" s="8">
        <v>9</v>
      </c>
      <c r="B45" s="11" t="str">
        <f t="shared" si="1"/>
        <v>9F</v>
      </c>
    </row>
    <row r="46" spans="1:2" x14ac:dyDescent="0.3">
      <c r="A46" s="8">
        <v>10</v>
      </c>
      <c r="B46" s="11" t="str">
        <f t="shared" si="1"/>
        <v>10F</v>
      </c>
    </row>
    <row r="47" spans="1:2" x14ac:dyDescent="0.3">
      <c r="A47" s="8">
        <v>11</v>
      </c>
      <c r="B47" s="11" t="str">
        <f t="shared" si="1"/>
        <v>11F</v>
      </c>
    </row>
    <row r="48" spans="1:2" x14ac:dyDescent="0.3">
      <c r="A48" s="8">
        <v>12</v>
      </c>
      <c r="B48" s="11" t="str">
        <f t="shared" si="1"/>
        <v>12F</v>
      </c>
    </row>
    <row r="49" spans="1:2" x14ac:dyDescent="0.3">
      <c r="A49" s="8">
        <v>13</v>
      </c>
      <c r="B49" s="11" t="str">
        <f t="shared" si="1"/>
        <v>13F</v>
      </c>
    </row>
    <row r="50" spans="1:2" x14ac:dyDescent="0.3">
      <c r="A50" s="8">
        <v>14</v>
      </c>
      <c r="B50" s="11" t="str">
        <f t="shared" si="1"/>
        <v>14F</v>
      </c>
    </row>
    <row r="51" spans="1:2" x14ac:dyDescent="0.3">
      <c r="A51" s="8">
        <v>15</v>
      </c>
      <c r="B51" s="11" t="str">
        <f t="shared" si="1"/>
        <v>15F</v>
      </c>
    </row>
    <row r="52" spans="1:2" x14ac:dyDescent="0.3">
      <c r="A52" s="8">
        <v>16</v>
      </c>
      <c r="B52" s="11" t="str">
        <f t="shared" si="1"/>
        <v>16F</v>
      </c>
    </row>
    <row r="53" spans="1:2" x14ac:dyDescent="0.3">
      <c r="A53" s="8">
        <v>17</v>
      </c>
      <c r="B53" s="11" t="str">
        <f t="shared" si="1"/>
        <v>17F</v>
      </c>
    </row>
    <row r="54" spans="1:2" x14ac:dyDescent="0.3">
      <c r="A54" s="8">
        <v>18</v>
      </c>
      <c r="B54" s="11" t="str">
        <f t="shared" si="1"/>
        <v>18F</v>
      </c>
    </row>
    <row r="55" spans="1:2" x14ac:dyDescent="0.3">
      <c r="A55" s="8">
        <v>19</v>
      </c>
      <c r="B55" s="11" t="str">
        <f t="shared" si="1"/>
        <v>19F</v>
      </c>
    </row>
    <row r="56" spans="1:2" x14ac:dyDescent="0.3">
      <c r="A56" s="8">
        <v>20</v>
      </c>
      <c r="B56" s="11" t="str">
        <f t="shared" si="1"/>
        <v>20F</v>
      </c>
    </row>
    <row r="57" spans="1:2" x14ac:dyDescent="0.3">
      <c r="A57" s="8">
        <v>21</v>
      </c>
      <c r="B57" s="11" t="str">
        <f t="shared" si="1"/>
        <v>21F</v>
      </c>
    </row>
    <row r="58" spans="1:2" x14ac:dyDescent="0.3">
      <c r="A58" s="8">
        <v>22</v>
      </c>
      <c r="B58" s="11" t="str">
        <f t="shared" si="1"/>
        <v>22F</v>
      </c>
    </row>
    <row r="59" spans="1:2" x14ac:dyDescent="0.3">
      <c r="A59" s="8">
        <v>23</v>
      </c>
      <c r="B59" s="11" t="str">
        <f t="shared" si="1"/>
        <v>23F</v>
      </c>
    </row>
    <row r="60" spans="1:2" x14ac:dyDescent="0.3">
      <c r="A60" s="8">
        <v>24</v>
      </c>
      <c r="B60" s="11" t="str">
        <f t="shared" si="1"/>
        <v>24F</v>
      </c>
    </row>
    <row r="61" spans="1:2" x14ac:dyDescent="0.3">
      <c r="A61" s="8">
        <v>25</v>
      </c>
      <c r="B61" s="11" t="str">
        <f t="shared" si="1"/>
        <v>25F</v>
      </c>
    </row>
    <row r="62" spans="1:2" x14ac:dyDescent="0.3">
      <c r="A62" s="8">
        <v>26</v>
      </c>
      <c r="B62" s="11" t="str">
        <f t="shared" si="1"/>
        <v>26F</v>
      </c>
    </row>
    <row r="63" spans="1:2" x14ac:dyDescent="0.3">
      <c r="A63" s="8">
        <v>27</v>
      </c>
      <c r="B63" s="11" t="str">
        <f t="shared" si="1"/>
        <v>27F</v>
      </c>
    </row>
    <row r="64" spans="1:2" x14ac:dyDescent="0.3">
      <c r="A64" s="8">
        <v>28</v>
      </c>
      <c r="B64" s="11" t="str">
        <f t="shared" si="1"/>
        <v>28F</v>
      </c>
    </row>
    <row r="65" spans="1:3" x14ac:dyDescent="0.3">
      <c r="A65" s="8">
        <v>29</v>
      </c>
      <c r="B65" s="11" t="str">
        <f t="shared" si="1"/>
        <v>29F</v>
      </c>
    </row>
    <row r="66" spans="1:3" x14ac:dyDescent="0.3">
      <c r="A66" s="8">
        <v>30</v>
      </c>
      <c r="B66" s="11" t="str">
        <f t="shared" si="1"/>
        <v>30F</v>
      </c>
    </row>
    <row r="68" spans="1:3" x14ac:dyDescent="0.3">
      <c r="A68" s="10" t="s">
        <v>117</v>
      </c>
      <c r="B68" s="10"/>
    </row>
    <row r="69" spans="1:3" x14ac:dyDescent="0.3">
      <c r="A69" s="8">
        <v>1</v>
      </c>
      <c r="B69" s="11" t="s">
        <v>115</v>
      </c>
      <c r="C69" t="s">
        <v>119</v>
      </c>
    </row>
    <row r="70" spans="1:3" x14ac:dyDescent="0.3">
      <c r="A70" s="8">
        <v>2</v>
      </c>
      <c r="B70" s="11" t="s">
        <v>60</v>
      </c>
      <c r="C70" t="s">
        <v>70</v>
      </c>
    </row>
    <row r="71" spans="1:3" x14ac:dyDescent="0.3">
      <c r="A71" s="8">
        <v>3</v>
      </c>
      <c r="B71" s="11" t="s">
        <v>61</v>
      </c>
      <c r="C71" t="s">
        <v>71</v>
      </c>
    </row>
    <row r="72" spans="1:3" x14ac:dyDescent="0.3">
      <c r="A72" s="8">
        <v>4</v>
      </c>
      <c r="B72" s="11" t="s">
        <v>62</v>
      </c>
      <c r="C72" t="s">
        <v>72</v>
      </c>
    </row>
    <row r="73" spans="1:3" x14ac:dyDescent="0.3">
      <c r="A73" s="8">
        <v>5</v>
      </c>
      <c r="B73" s="11" t="s">
        <v>63</v>
      </c>
      <c r="C73" t="s">
        <v>73</v>
      </c>
    </row>
    <row r="74" spans="1:3" x14ac:dyDescent="0.3">
      <c r="A74" s="8">
        <v>6</v>
      </c>
      <c r="B74" s="11" t="s">
        <v>64</v>
      </c>
      <c r="C74" t="s">
        <v>74</v>
      </c>
    </row>
    <row r="75" spans="1:3" x14ac:dyDescent="0.3">
      <c r="A75" s="8">
        <v>7</v>
      </c>
      <c r="B75" s="11" t="s">
        <v>65</v>
      </c>
      <c r="C75" t="s">
        <v>75</v>
      </c>
    </row>
    <row r="76" spans="1:3" x14ac:dyDescent="0.3">
      <c r="A76" s="8">
        <v>8</v>
      </c>
      <c r="B76" s="11" t="s">
        <v>66</v>
      </c>
      <c r="C76" t="s">
        <v>76</v>
      </c>
    </row>
    <row r="77" spans="1:3" x14ac:dyDescent="0.3">
      <c r="A77" s="8">
        <v>9</v>
      </c>
      <c r="B77" s="11" t="s">
        <v>67</v>
      </c>
      <c r="C77" t="s">
        <v>77</v>
      </c>
    </row>
    <row r="78" spans="1:3" x14ac:dyDescent="0.3">
      <c r="A78" s="8">
        <v>10</v>
      </c>
      <c r="B78" s="11" t="s">
        <v>116</v>
      </c>
      <c r="C78" t="s">
        <v>78</v>
      </c>
    </row>
    <row r="79" spans="1:3" x14ac:dyDescent="0.3">
      <c r="A79" s="8">
        <v>11</v>
      </c>
      <c r="B79" s="11" t="s">
        <v>69</v>
      </c>
      <c r="C79" t="s">
        <v>79</v>
      </c>
    </row>
  </sheetData>
  <mergeCells count="5">
    <mergeCell ref="A2:B2"/>
    <mergeCell ref="A12:B12"/>
    <mergeCell ref="A24:B24"/>
    <mergeCell ref="A31:B31"/>
    <mergeCell ref="A68:B68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ZoneGeneral_3D</vt:lpstr>
      <vt:lpstr>ZoneEnvelope_3D</vt:lpstr>
      <vt:lpstr>ThermalBridge_3D</vt:lpstr>
      <vt:lpstr>외피index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2024-01-04T09:57:50Z</dcterms:created>
  <dcterms:modified xsi:type="dcterms:W3CDTF">2024-01-04T11:16:46Z</dcterms:modified>
</cp:coreProperties>
</file>